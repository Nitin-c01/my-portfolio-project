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51fa9f667381a8/Desktop/"/>
    </mc:Choice>
  </mc:AlternateContent>
  <xr:revisionPtr revIDLastSave="0" documentId="8_{309F0C01-AAA8-497C-A12C-29C733B33571}" xr6:coauthVersionLast="47" xr6:coauthVersionMax="47" xr10:uidLastSave="{00000000-0000-0000-0000-000000000000}"/>
  <bookViews>
    <workbookView xWindow="-120" yWindow="-120" windowWidth="29040" windowHeight="15840" xr2:uid="{F46473E6-F10F-4A90-BA8F-83B5FB5306C4}"/>
  </bookViews>
  <sheets>
    <sheet name="Policies Data" sheetId="2" r:id="rId1"/>
    <sheet name="Claims 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4" i="2" l="1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F35" i="2"/>
  <c r="AF45" i="2" s="1"/>
  <c r="AE35" i="2"/>
  <c r="AE45" i="2" s="1"/>
  <c r="AD35" i="2"/>
  <c r="AD45" i="2" s="1"/>
  <c r="AC35" i="2"/>
  <c r="AB35" i="2"/>
  <c r="AA35" i="2"/>
  <c r="AA45" i="2" s="1"/>
  <c r="Z35" i="2"/>
  <c r="Z45" i="2" s="1"/>
  <c r="Y35" i="2"/>
  <c r="X35" i="2"/>
  <c r="W35" i="2"/>
  <c r="W45" i="2" s="1"/>
  <c r="V35" i="2"/>
  <c r="V45" i="2" s="1"/>
  <c r="U35" i="2"/>
  <c r="T35" i="2"/>
  <c r="T45" i="2" s="1"/>
  <c r="S35" i="2"/>
  <c r="S45" i="2" s="1"/>
  <c r="R35" i="2"/>
  <c r="R45" i="2" s="1"/>
  <c r="AF11" i="2"/>
  <c r="AE11" i="2"/>
  <c r="AD11" i="2"/>
  <c r="AC11" i="2"/>
  <c r="AC45" i="2" s="1"/>
  <c r="AB11" i="2"/>
  <c r="AB45" i="2" s="1"/>
  <c r="AA11" i="2"/>
  <c r="Z11" i="2"/>
  <c r="Y11" i="2"/>
  <c r="Y45" i="2" s="1"/>
  <c r="X11" i="2"/>
  <c r="X45" i="2" s="1"/>
  <c r="W11" i="2"/>
  <c r="V11" i="2"/>
  <c r="U11" i="2"/>
  <c r="U45" i="2" s="1"/>
  <c r="T11" i="2"/>
  <c r="S11" i="2"/>
  <c r="R11" i="2"/>
  <c r="AA45" i="1"/>
  <c r="S45" i="1"/>
  <c r="T45" i="1" s="1"/>
  <c r="AE44" i="1"/>
  <c r="AF44" i="1" s="1"/>
  <c r="AD44" i="1"/>
  <c r="AB44" i="1"/>
  <c r="AC44" i="1" s="1"/>
  <c r="AA44" i="1"/>
  <c r="Z44" i="1"/>
  <c r="Y44" i="1"/>
  <c r="X44" i="1"/>
  <c r="V44" i="1"/>
  <c r="W44" i="1" s="1"/>
  <c r="U44" i="1"/>
  <c r="S44" i="1"/>
  <c r="T44" i="1" s="1"/>
  <c r="R44" i="1"/>
  <c r="AE35" i="1"/>
  <c r="AE45" i="1" s="1"/>
  <c r="AF45" i="1" s="1"/>
  <c r="AD35" i="1"/>
  <c r="AD45" i="1" s="1"/>
  <c r="AC35" i="1"/>
  <c r="AB35" i="1"/>
  <c r="AB45" i="1" s="1"/>
  <c r="AC45" i="1" s="1"/>
  <c r="AA35" i="1"/>
  <c r="Y35" i="1"/>
  <c r="Z35" i="1" s="1"/>
  <c r="X35" i="1"/>
  <c r="X45" i="1" s="1"/>
  <c r="V35" i="1"/>
  <c r="V45" i="1" s="1"/>
  <c r="U35" i="1"/>
  <c r="U45" i="1" s="1"/>
  <c r="S35" i="1"/>
  <c r="T35" i="1" s="1"/>
  <c r="R35" i="1"/>
  <c r="R45" i="1" s="1"/>
  <c r="AF20" i="1"/>
  <c r="AE11" i="1"/>
  <c r="AF11" i="1" s="1"/>
  <c r="AD11" i="1"/>
  <c r="AC11" i="1"/>
  <c r="AB11" i="1"/>
  <c r="AA11" i="1"/>
  <c r="Y11" i="1"/>
  <c r="Z11" i="1" s="1"/>
  <c r="X11" i="1"/>
  <c r="V11" i="1"/>
  <c r="W11" i="1" s="1"/>
  <c r="U11" i="1"/>
  <c r="S11" i="1"/>
  <c r="T11" i="1" s="1"/>
  <c r="R11" i="1"/>
  <c r="W45" i="1" l="1"/>
  <c r="W35" i="1"/>
  <c r="Y45" i="1"/>
  <c r="Z45" i="1" s="1"/>
  <c r="AF35" i="1"/>
</calcChain>
</file>

<file path=xl/sharedStrings.xml><?xml version="1.0" encoding="utf-8"?>
<sst xmlns="http://schemas.openxmlformats.org/spreadsheetml/2006/main" count="617" uniqueCount="80">
  <si>
    <t>TABLE 66: HEALTH INSURANCE (EXCLUDING PERSONAL ACCIDENT AND TRAVEL) - NET EARNED PREMIUM, INCURRED CLAIMS AND INCURRED CLAIMS RATIO</t>
  </si>
  <si>
    <t>(Amount in ₹Lakh)</t>
  </si>
  <si>
    <t>S.No.</t>
  </si>
  <si>
    <t>Insurers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</si>
  <si>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</si>
  <si>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</si>
  <si>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</si>
  <si>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</si>
  <si>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</si>
  <si>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</si>
  <si>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</si>
  <si>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</si>
  <si>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</si>
  <si>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Government Sponsored Schemes  including RSBY</t>
  </si>
  <si>
    <t>Group Insurance Schemes excluding Govt. Sponsored Schemes</t>
  </si>
  <si>
    <t>Family/Floater Insurance excluding Individual Policies</t>
  </si>
  <si>
    <t>Individual Insurance excluding Family /Floater Policies</t>
  </si>
  <si>
    <t>Total</t>
  </si>
  <si>
    <t>Government Sponsored Schemes including RSBY</t>
  </si>
  <si>
    <t xml:space="preserve">Individual Family Floater  </t>
  </si>
  <si>
    <t>Individual Other than Family Floater</t>
  </si>
  <si>
    <t>Group Insurance Schemes excluding Govt Sponsored Schemes</t>
  </si>
  <si>
    <t>Government Sponsored Schemes including RSBY &amp; PMJAY</t>
  </si>
  <si>
    <t>Net Earned Premium</t>
  </si>
  <si>
    <t>Claims Incurred (Net)</t>
  </si>
  <si>
    <t>Incurred Claims Ratio</t>
  </si>
  <si>
    <t>Net Earned Permium</t>
  </si>
  <si>
    <t>Claims Incurred 
(Net)</t>
  </si>
  <si>
    <t>Public Sector Insurers</t>
  </si>
  <si>
    <t>National Insurance Co. Ltd.</t>
  </si>
  <si>
    <t>The New India Assurance Co. Ltd.</t>
  </si>
  <si>
    <t>The Oriental Insurance Co. Ltd.</t>
  </si>
  <si>
    <t>United India Insurance Co. Ltd.</t>
  </si>
  <si>
    <t>Public Sector Insurers Total</t>
  </si>
  <si>
    <t>Private Sector Insurers</t>
  </si>
  <si>
    <t>Acko General Insurance Ltd.</t>
  </si>
  <si>
    <t/>
  </si>
  <si>
    <t>Bajaj Allianz General Insurance Co. Ltd.</t>
  </si>
  <si>
    <t>Bharti AXA General Insurance Co. Ltd.</t>
  </si>
  <si>
    <t>Cholamandalam MS General Insurance Co. Ltd.</t>
  </si>
  <si>
    <t>Edelweiss General Insurance Co. Ltd.</t>
  </si>
  <si>
    <t>Future Generali India Insurance Co. Ltd.</t>
  </si>
  <si>
    <t>Go Digit General Insurance Ltd.</t>
  </si>
  <si>
    <t>HDFC ERGO General Insurance Co. Ltd.^</t>
  </si>
  <si>
    <t>HDFC ERGO General Insurance Co. Ltd.^^</t>
  </si>
  <si>
    <t>ICICI Lombard General Insurance Co. Ltd.</t>
  </si>
  <si>
    <t>IFFCO Tokio General Insurance Co. Ltd.</t>
  </si>
  <si>
    <t>Kotak Mahindra General Insurance Co. Ltd.</t>
  </si>
  <si>
    <t>Liberty General Insurance Ltd.</t>
  </si>
  <si>
    <t>Magma HDI General Insurance Co. Ltd.</t>
  </si>
  <si>
    <t>Navi General Insurance Limited</t>
  </si>
  <si>
    <t>Raheja QBE General Insurance Co. Ltd.</t>
  </si>
  <si>
    <t>Reliance General Insurance Co. Ltd.</t>
  </si>
  <si>
    <t>Royal Sundaram General Insurance Co. Ltd.</t>
  </si>
  <si>
    <t>SBI General Insurance Co. Ltd.</t>
  </si>
  <si>
    <t>Shriram General Insurance Co. Ltd.</t>
  </si>
  <si>
    <t>Tata AIG General Insurance Co. Ltd.</t>
  </si>
  <si>
    <t>Universal Sompo General Insurance Co. Ltd.</t>
  </si>
  <si>
    <t>Private Sector Insurers Total</t>
  </si>
  <si>
    <t>Stand-alone Health Insurers</t>
  </si>
  <si>
    <t>Aditya Birla Health insurance Co. Ltd.</t>
  </si>
  <si>
    <t>Care Health Insurance Ltd.</t>
  </si>
  <si>
    <t>HDFC ERGO Health Insurance Co. Ltd.*</t>
  </si>
  <si>
    <t>ManipalCigna Health Insurance Co. Ltd.</t>
  </si>
  <si>
    <t>Niva Bupa Health Insurance Co. Ltd.</t>
  </si>
  <si>
    <t>Reliance Health Insurance Ltd.</t>
  </si>
  <si>
    <t>Star Health &amp; Allied  Insurance Co. Ltd.</t>
  </si>
  <si>
    <t>Stand-alone Health Insurers Total</t>
  </si>
  <si>
    <t>Grand Total</t>
  </si>
  <si>
    <t>^Erstwhile HDFC Ergo General Insurance Co. Ltd. merged with  L&amp;T General Insurance Co. Ltd. w.e.f. 01.01.2017.</t>
  </si>
  <si>
    <t>^^L&amp;T General Insurance co. Ltd. is renamed as HDFC Ergo General Insurance Co. Ltd.</t>
  </si>
  <si>
    <t xml:space="preserve"> </t>
  </si>
  <si>
    <t>TABLE 62: HEALTH INSURANCE (EXCLUDING PERSONAL ACCIDENT AND TRAVEL) - NUMBER OF POLICIES, NUMBER OF PERSONS COVERED AND GROSS PREMIUM</t>
  </si>
  <si>
    <t>Group Insurance Schemes excluding Govt. Sponsered Schemes</t>
  </si>
  <si>
    <t>TOTAL</t>
  </si>
  <si>
    <t>Individual Insurance excluding Family/ Floater Policies</t>
  </si>
  <si>
    <t>Group Insurance Schemes excluding Govt Sponsored Schemes &amp; RSBY</t>
  </si>
  <si>
    <t>No. of policies</t>
  </si>
  <si>
    <t>No. of Persons Covered ('000s)</t>
  </si>
  <si>
    <t>Gross Premium (₹Lakh)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</si>
</sst>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_);\(0\)"/>
    <numFmt numFmtId="166" formatCode="0.0%"/>
    <numFmt numFmtId="167" formatCode="0.0"/>
    <numFmt numFmtId="169" formatCode="_ * #,##0_ ;_ * \-#,##0_ ;_ * &quot;-&quot;??_ ;_ @_ "/>
    <numFmt numFmtId="170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63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9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43" fontId="4" fillId="0" borderId="0" applyFill="0" applyBorder="0" applyAlignment="0" applyProtection="0"/>
  </cellStyleXfs>
  <cellXfs count="209">
    <xf numFmtId="0" fontId="0" fillId="0" borderId="0" xfId="0"/>
    <xf numFmtId="2" fontId="3" fillId="0" borderId="0" xfId="3" applyNumberFormat="1" applyFont="1" applyAlignment="1">
      <alignment vertical="center"/>
    </xf>
    <xf numFmtId="2" fontId="4" fillId="0" borderId="0" xfId="4" applyNumberFormat="1" applyFont="1"/>
    <xf numFmtId="2" fontId="4" fillId="0" borderId="1" xfId="3" applyNumberFormat="1" applyFont="1" applyBorder="1" applyAlignment="1">
      <alignment horizontal="right" vertical="center"/>
    </xf>
    <xf numFmtId="0" fontId="5" fillId="0" borderId="0" xfId="0" applyFont="1"/>
    <xf numFmtId="1" fontId="3" fillId="0" borderId="2" xfId="3" applyNumberFormat="1" applyFont="1" applyBorder="1" applyAlignment="1">
      <alignment horizontal="left" vertical="center" wrapText="1"/>
    </xf>
    <xf numFmtId="1" fontId="3" fillId="0" borderId="2" xfId="3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2" fontId="3" fillId="0" borderId="2" xfId="3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2" fontId="3" fillId="0" borderId="4" xfId="4" applyNumberFormat="1" applyFont="1" applyBorder="1" applyAlignment="1">
      <alignment horizontal="center" vertical="center" wrapText="1"/>
    </xf>
    <xf numFmtId="2" fontId="3" fillId="0" borderId="3" xfId="4" applyNumberFormat="1" applyFont="1" applyBorder="1" applyAlignment="1">
      <alignment horizontal="center" vertical="center" wrapText="1"/>
    </xf>
    <xf numFmtId="2" fontId="3" fillId="0" borderId="5" xfId="4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3" fillId="0" borderId="2" xfId="4" applyNumberFormat="1" applyFont="1" applyBorder="1" applyAlignment="1">
      <alignment horizontal="center" vertical="center" wrapText="1"/>
    </xf>
    <xf numFmtId="1" fontId="3" fillId="0" borderId="4" xfId="4" applyNumberFormat="1" applyFont="1" applyBorder="1" applyAlignment="1">
      <alignment horizontal="center" vertical="center" wrapText="1"/>
    </xf>
    <xf numFmtId="1" fontId="3" fillId="0" borderId="3" xfId="4" applyNumberFormat="1" applyFont="1" applyBorder="1" applyAlignment="1">
      <alignment horizontal="center" vertical="center" wrapText="1"/>
    </xf>
    <xf numFmtId="1" fontId="3" fillId="0" borderId="5" xfId="4" applyNumberFormat="1" applyFont="1" applyBorder="1" applyAlignment="1">
      <alignment horizontal="center" vertical="center" wrapText="1"/>
    </xf>
    <xf numFmtId="2" fontId="4" fillId="0" borderId="0" xfId="4" applyNumberFormat="1" applyFont="1" applyAlignment="1">
      <alignment vertical="center"/>
    </xf>
    <xf numFmtId="0" fontId="3" fillId="0" borderId="2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3" fillId="0" borderId="2" xfId="3" applyNumberFormat="1" applyFont="1" applyBorder="1" applyAlignment="1">
      <alignment horizontal="center" vertical="center" wrapText="1"/>
    </xf>
    <xf numFmtId="9" fontId="3" fillId="0" borderId="2" xfId="5" applyFont="1" applyFill="1" applyBorder="1" applyAlignment="1">
      <alignment horizontal="center" vertical="center" wrapText="1"/>
    </xf>
    <xf numFmtId="49" fontId="8" fillId="2" borderId="7" xfId="6" applyNumberFormat="1" applyFont="1" applyFill="1" applyBorder="1" applyAlignment="1">
      <alignment horizontal="left" vertical="center"/>
    </xf>
    <xf numFmtId="0" fontId="3" fillId="0" borderId="8" xfId="6" applyFont="1" applyBorder="1" applyAlignment="1">
      <alignment vertical="center"/>
    </xf>
    <xf numFmtId="0" fontId="3" fillId="0" borderId="8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" fontId="3" fillId="0" borderId="8" xfId="3" applyNumberFormat="1" applyFont="1" applyBorder="1" applyAlignment="1">
      <alignment horizontal="center" vertical="center" wrapText="1"/>
    </xf>
    <xf numFmtId="9" fontId="3" fillId="0" borderId="8" xfId="7" applyFont="1" applyFill="1" applyBorder="1" applyAlignment="1">
      <alignment horizontal="center" vertical="center" wrapText="1"/>
    </xf>
    <xf numFmtId="164" fontId="3" fillId="0" borderId="8" xfId="7" applyNumberFormat="1" applyFont="1" applyFill="1" applyBorder="1" applyAlignment="1">
      <alignment horizontal="center" vertical="center" wrapText="1"/>
    </xf>
    <xf numFmtId="1" fontId="3" fillId="0" borderId="8" xfId="3" applyNumberFormat="1" applyFont="1" applyBorder="1" applyAlignment="1">
      <alignment horizontal="center" vertical="top" wrapText="1"/>
    </xf>
    <xf numFmtId="9" fontId="3" fillId="0" borderId="8" xfId="7" applyFont="1" applyFill="1" applyBorder="1" applyAlignment="1">
      <alignment horizontal="center" vertical="top" wrapText="1"/>
    </xf>
    <xf numFmtId="164" fontId="3" fillId="0" borderId="8" xfId="7" applyNumberFormat="1" applyFont="1" applyFill="1" applyBorder="1" applyAlignment="1">
      <alignment horizontal="center" vertical="top" wrapText="1"/>
    </xf>
    <xf numFmtId="9" fontId="3" fillId="0" borderId="8" xfId="5" applyFont="1" applyFill="1" applyBorder="1" applyAlignment="1">
      <alignment horizontal="center" vertical="top" wrapText="1"/>
    </xf>
    <xf numFmtId="164" fontId="3" fillId="0" borderId="8" xfId="5" applyNumberFormat="1" applyFont="1" applyFill="1" applyBorder="1" applyAlignment="1">
      <alignment horizontal="center" vertical="top" wrapText="1"/>
    </xf>
    <xf numFmtId="2" fontId="4" fillId="0" borderId="0" xfId="4" applyNumberFormat="1" applyFont="1" applyAlignment="1">
      <alignment vertical="top"/>
    </xf>
    <xf numFmtId="0" fontId="4" fillId="0" borderId="7" xfId="6" applyBorder="1" applyAlignment="1">
      <alignment horizontal="left" vertical="center"/>
    </xf>
    <xf numFmtId="0" fontId="4" fillId="0" borderId="8" xfId="6" applyBorder="1" applyAlignment="1">
      <alignment vertical="center"/>
    </xf>
    <xf numFmtId="165" fontId="4" fillId="0" borderId="8" xfId="8" applyNumberFormat="1" applyFont="1" applyFill="1" applyBorder="1" applyAlignment="1">
      <alignment horizontal="right" wrapText="1"/>
    </xf>
    <xf numFmtId="166" fontId="4" fillId="0" borderId="8" xfId="2" applyNumberFormat="1" applyFont="1" applyFill="1" applyBorder="1" applyAlignment="1">
      <alignment horizontal="right"/>
    </xf>
    <xf numFmtId="1" fontId="4" fillId="0" borderId="8" xfId="8" applyNumberFormat="1" applyFont="1" applyFill="1" applyBorder="1" applyAlignment="1">
      <alignment horizontal="right" vertical="center" wrapText="1"/>
    </xf>
    <xf numFmtId="166" fontId="4" fillId="0" borderId="8" xfId="2" applyNumberFormat="1" applyFont="1" applyFill="1" applyBorder="1" applyAlignment="1">
      <alignment horizontal="right" vertical="center" wrapText="1"/>
    </xf>
    <xf numFmtId="1" fontId="4" fillId="0" borderId="8" xfId="3" applyNumberFormat="1" applyFont="1" applyBorder="1" applyAlignment="1">
      <alignment horizontal="right" vertical="center" wrapText="1"/>
    </xf>
    <xf numFmtId="1" fontId="4" fillId="0" borderId="8" xfId="9" applyNumberFormat="1" applyFont="1" applyFill="1" applyBorder="1" applyAlignment="1">
      <alignment horizontal="right" vertical="center" wrapText="1"/>
    </xf>
    <xf numFmtId="166" fontId="4" fillId="0" borderId="8" xfId="10" applyNumberFormat="1" applyFont="1" applyFill="1" applyBorder="1" applyAlignment="1">
      <alignment horizontal="right" vertical="center" wrapText="1"/>
    </xf>
    <xf numFmtId="1" fontId="4" fillId="0" borderId="8" xfId="10" applyNumberFormat="1" applyFont="1" applyFill="1" applyBorder="1" applyAlignment="1">
      <alignment horizontal="right" vertical="center" wrapText="1"/>
    </xf>
    <xf numFmtId="9" fontId="4" fillId="0" borderId="8" xfId="10" applyFont="1" applyFill="1" applyBorder="1" applyAlignment="1">
      <alignment horizontal="right" vertical="center" wrapText="1"/>
    </xf>
    <xf numFmtId="9" fontId="4" fillId="0" borderId="8" xfId="7" applyFill="1" applyBorder="1" applyAlignment="1">
      <alignment horizontal="right" vertical="center" wrapText="1"/>
    </xf>
    <xf numFmtId="1" fontId="4" fillId="0" borderId="8" xfId="7" applyNumberFormat="1" applyFill="1" applyBorder="1" applyAlignment="1">
      <alignment horizontal="right" vertical="center" wrapText="1"/>
    </xf>
    <xf numFmtId="1" fontId="4" fillId="0" borderId="8" xfId="4" applyNumberFormat="1" applyFont="1" applyBorder="1" applyAlignment="1">
      <alignment vertical="center"/>
    </xf>
    <xf numFmtId="9" fontId="4" fillId="0" borderId="8" xfId="11" applyNumberFormat="1" applyBorder="1" applyAlignment="1">
      <alignment vertical="center" wrapText="1"/>
    </xf>
    <xf numFmtId="1" fontId="4" fillId="3" borderId="8" xfId="4" applyNumberFormat="1" applyFont="1" applyFill="1" applyBorder="1" applyAlignment="1">
      <alignment horizontal="right" vertical="center"/>
    </xf>
    <xf numFmtId="9" fontId="4" fillId="3" borderId="8" xfId="2" applyFont="1" applyFill="1" applyBorder="1" applyAlignment="1">
      <alignment horizontal="right" vertical="center"/>
    </xf>
    <xf numFmtId="1" fontId="4" fillId="0" borderId="8" xfId="4" applyNumberFormat="1" applyFont="1" applyBorder="1" applyAlignment="1">
      <alignment horizontal="right" vertical="center"/>
    </xf>
    <xf numFmtId="9" fontId="4" fillId="0" borderId="8" xfId="4" applyNumberFormat="1" applyFont="1" applyBorder="1" applyAlignment="1">
      <alignment horizontal="right" vertical="center"/>
    </xf>
    <xf numFmtId="0" fontId="3" fillId="0" borderId="7" xfId="6" applyFont="1" applyBorder="1" applyAlignment="1">
      <alignment horizontal="left" vertical="center"/>
    </xf>
    <xf numFmtId="165" fontId="3" fillId="0" borderId="8" xfId="3" applyNumberFormat="1" applyFont="1" applyBorder="1" applyAlignment="1">
      <alignment horizontal="right" wrapText="1"/>
    </xf>
    <xf numFmtId="166" fontId="3" fillId="0" borderId="8" xfId="2" applyNumberFormat="1" applyFont="1" applyFill="1" applyBorder="1" applyAlignment="1">
      <alignment horizontal="right" wrapText="1"/>
    </xf>
    <xf numFmtId="1" fontId="3" fillId="0" borderId="8" xfId="3" applyNumberFormat="1" applyFont="1" applyBorder="1" applyAlignment="1">
      <alignment horizontal="right" wrapText="1"/>
    </xf>
    <xf numFmtId="1" fontId="3" fillId="0" borderId="8" xfId="9" applyNumberFormat="1" applyFont="1" applyFill="1" applyBorder="1" applyAlignment="1">
      <alignment horizontal="right" vertical="center" wrapText="1"/>
    </xf>
    <xf numFmtId="166" fontId="3" fillId="0" borderId="8" xfId="10" applyNumberFormat="1" applyFont="1" applyFill="1" applyBorder="1" applyAlignment="1">
      <alignment horizontal="right" vertical="center" wrapText="1"/>
    </xf>
    <xf numFmtId="1" fontId="3" fillId="0" borderId="8" xfId="10" applyNumberFormat="1" applyFont="1" applyFill="1" applyBorder="1" applyAlignment="1">
      <alignment horizontal="right" vertical="center" wrapText="1"/>
    </xf>
    <xf numFmtId="9" fontId="3" fillId="0" borderId="8" xfId="10" applyFont="1" applyFill="1" applyBorder="1" applyAlignment="1">
      <alignment horizontal="right" vertical="center" wrapText="1"/>
    </xf>
    <xf numFmtId="9" fontId="3" fillId="0" borderId="8" xfId="7" applyFont="1" applyFill="1" applyBorder="1" applyAlignment="1">
      <alignment horizontal="right" vertical="center" wrapText="1"/>
    </xf>
    <xf numFmtId="1" fontId="3" fillId="0" borderId="8" xfId="7" applyNumberFormat="1" applyFont="1" applyFill="1" applyBorder="1" applyAlignment="1">
      <alignment horizontal="right" vertical="center" wrapText="1"/>
    </xf>
    <xf numFmtId="1" fontId="3" fillId="0" borderId="8" xfId="4" applyNumberFormat="1" applyFont="1" applyBorder="1" applyAlignment="1">
      <alignment vertical="center"/>
    </xf>
    <xf numFmtId="9" fontId="3" fillId="0" borderId="8" xfId="11" applyNumberFormat="1" applyFont="1" applyBorder="1" applyAlignment="1">
      <alignment vertical="center" wrapText="1"/>
    </xf>
    <xf numFmtId="1" fontId="3" fillId="0" borderId="8" xfId="4" applyNumberFormat="1" applyFont="1" applyBorder="1" applyAlignment="1">
      <alignment horizontal="right" vertical="center"/>
    </xf>
    <xf numFmtId="9" fontId="3" fillId="0" borderId="8" xfId="4" applyNumberFormat="1" applyFont="1" applyBorder="1" applyAlignment="1">
      <alignment horizontal="right" vertical="center"/>
    </xf>
    <xf numFmtId="2" fontId="3" fillId="0" borderId="0" xfId="4" applyNumberFormat="1" applyFont="1"/>
    <xf numFmtId="0" fontId="4" fillId="0" borderId="8" xfId="6" applyBorder="1" applyAlignment="1">
      <alignment horizontal="left" vertical="center"/>
    </xf>
    <xf numFmtId="165" fontId="4" fillId="0" borderId="8" xfId="8" applyNumberFormat="1" applyFont="1" applyFill="1" applyBorder="1" applyAlignment="1">
      <alignment horizontal="right"/>
    </xf>
    <xf numFmtId="166" fontId="4" fillId="0" borderId="8" xfId="3" applyNumberFormat="1" applyFont="1" applyBorder="1" applyAlignment="1">
      <alignment horizontal="right"/>
    </xf>
    <xf numFmtId="166" fontId="4" fillId="4" borderId="8" xfId="10" applyNumberFormat="1" applyFont="1" applyFill="1" applyBorder="1" applyAlignment="1">
      <alignment horizontal="right" vertical="center" wrapText="1"/>
    </xf>
    <xf numFmtId="9" fontId="4" fillId="4" borderId="8" xfId="10" applyFont="1" applyFill="1" applyBorder="1" applyAlignment="1">
      <alignment horizontal="right" vertical="center" wrapText="1"/>
    </xf>
    <xf numFmtId="1" fontId="4" fillId="0" borderId="8" xfId="11" applyNumberFormat="1" applyBorder="1" applyAlignment="1">
      <alignment vertical="center" wrapText="1"/>
    </xf>
    <xf numFmtId="1" fontId="4" fillId="0" borderId="8" xfId="11" applyNumberFormat="1" applyBorder="1" applyAlignment="1">
      <alignment vertical="top" wrapText="1"/>
    </xf>
    <xf numFmtId="9" fontId="4" fillId="0" borderId="8" xfId="11" applyNumberFormat="1" applyBorder="1" applyAlignment="1">
      <alignment vertical="top" wrapText="1"/>
    </xf>
    <xf numFmtId="0" fontId="4" fillId="0" borderId="8" xfId="6" quotePrefix="1" applyBorder="1" applyAlignment="1">
      <alignment horizontal="left" vertical="center"/>
    </xf>
    <xf numFmtId="1" fontId="4" fillId="0" borderId="8" xfId="3" applyNumberFormat="1" applyFont="1" applyBorder="1" applyAlignment="1">
      <alignment vertical="center" wrapText="1"/>
    </xf>
    <xf numFmtId="1" fontId="4" fillId="0" borderId="8" xfId="3" applyNumberFormat="1" applyFont="1" applyBorder="1" applyAlignment="1">
      <alignment horizontal="right" vertical="top" wrapText="1"/>
    </xf>
    <xf numFmtId="9" fontId="4" fillId="0" borderId="8" xfId="3" applyNumberFormat="1" applyFont="1" applyBorder="1" applyAlignment="1">
      <alignment horizontal="right" vertical="top" wrapText="1"/>
    </xf>
    <xf numFmtId="2" fontId="4" fillId="0" borderId="8" xfId="9" applyNumberFormat="1" applyFont="1" applyFill="1" applyBorder="1" applyAlignment="1">
      <alignment horizontal="right" vertical="center" wrapText="1"/>
    </xf>
    <xf numFmtId="2" fontId="4" fillId="0" borderId="8" xfId="4" applyNumberFormat="1" applyFont="1" applyBorder="1" applyAlignment="1">
      <alignment vertical="center"/>
    </xf>
    <xf numFmtId="49" fontId="9" fillId="0" borderId="8" xfId="6" applyNumberFormat="1" applyFont="1" applyBorder="1" applyAlignment="1">
      <alignment horizontal="left" vertical="center"/>
    </xf>
    <xf numFmtId="1" fontId="4" fillId="0" borderId="8" xfId="12" applyNumberFormat="1" applyFill="1" applyBorder="1" applyAlignment="1">
      <alignment horizontal="center" vertical="center"/>
    </xf>
    <xf numFmtId="167" fontId="4" fillId="0" borderId="8" xfId="9" applyNumberFormat="1" applyFont="1" applyFill="1" applyBorder="1" applyAlignment="1">
      <alignment horizontal="right" vertical="center" wrapText="1"/>
    </xf>
    <xf numFmtId="49" fontId="9" fillId="0" borderId="7" xfId="6" applyNumberFormat="1" applyFont="1" applyBorder="1" applyAlignment="1">
      <alignment horizontal="left" vertical="center"/>
    </xf>
    <xf numFmtId="1" fontId="4" fillId="0" borderId="8" xfId="8" applyNumberFormat="1" applyFont="1" applyFill="1" applyBorder="1" applyAlignment="1">
      <alignment horizontal="right" vertical="center"/>
    </xf>
    <xf numFmtId="1" fontId="4" fillId="0" borderId="8" xfId="8" applyNumberFormat="1" applyFont="1" applyFill="1" applyBorder="1" applyAlignment="1">
      <alignment horizontal="right" wrapText="1"/>
    </xf>
    <xf numFmtId="0" fontId="4" fillId="0" borderId="7" xfId="6" quotePrefix="1" applyBorder="1" applyAlignment="1">
      <alignment horizontal="left" vertical="center"/>
    </xf>
    <xf numFmtId="165" fontId="4" fillId="0" borderId="8" xfId="3" applyNumberFormat="1" applyFont="1" applyBorder="1" applyAlignment="1">
      <alignment horizontal="right" wrapText="1"/>
    </xf>
    <xf numFmtId="165" fontId="4" fillId="0" borderId="8" xfId="0" applyNumberFormat="1" applyFont="1" applyBorder="1" applyAlignment="1">
      <alignment horizontal="right"/>
    </xf>
    <xf numFmtId="166" fontId="4" fillId="0" borderId="8" xfId="8" applyNumberFormat="1" applyFont="1" applyFill="1" applyBorder="1" applyAlignment="1">
      <alignment horizontal="right"/>
    </xf>
    <xf numFmtId="2" fontId="4" fillId="0" borderId="8" xfId="8" applyNumberFormat="1" applyFont="1" applyFill="1" applyBorder="1" applyAlignment="1">
      <alignment horizontal="right" vertical="center"/>
    </xf>
    <xf numFmtId="167" fontId="4" fillId="0" borderId="8" xfId="4" applyNumberFormat="1" applyFont="1" applyBorder="1" applyAlignment="1">
      <alignment horizontal="right" vertical="center"/>
    </xf>
    <xf numFmtId="2" fontId="4" fillId="0" borderId="8" xfId="7" applyNumberFormat="1" applyFill="1" applyBorder="1" applyAlignment="1">
      <alignment horizontal="right" vertical="center" wrapText="1"/>
    </xf>
    <xf numFmtId="167" fontId="4" fillId="0" borderId="8" xfId="7" applyNumberFormat="1" applyFill="1" applyBorder="1" applyAlignment="1">
      <alignment horizontal="right" vertical="center" wrapText="1"/>
    </xf>
    <xf numFmtId="167" fontId="4" fillId="0" borderId="8" xfId="4" applyNumberFormat="1" applyFont="1" applyBorder="1" applyAlignment="1">
      <alignment vertical="center"/>
    </xf>
    <xf numFmtId="166" fontId="4" fillId="3" borderId="8" xfId="10" applyNumberFormat="1" applyFont="1" applyFill="1" applyBorder="1" applyAlignment="1">
      <alignment horizontal="right" vertical="center" wrapText="1"/>
    </xf>
    <xf numFmtId="2" fontId="4" fillId="0" borderId="8" xfId="11" applyNumberFormat="1" applyBorder="1" applyAlignment="1">
      <alignment vertical="center" wrapText="1"/>
    </xf>
    <xf numFmtId="1" fontId="4" fillId="0" borderId="8" xfId="0" applyNumberFormat="1" applyFont="1" applyBorder="1" applyAlignment="1">
      <alignment horizontal="right" vertical="center"/>
    </xf>
    <xf numFmtId="0" fontId="9" fillId="0" borderId="7" xfId="6" applyFont="1" applyBorder="1" applyAlignment="1">
      <alignment horizontal="left" vertical="center"/>
    </xf>
    <xf numFmtId="0" fontId="3" fillId="0" borderId="9" xfId="4" applyFont="1" applyBorder="1" applyAlignment="1">
      <alignment horizontal="left" vertical="center"/>
    </xf>
    <xf numFmtId="165" fontId="3" fillId="0" borderId="9" xfId="3" applyNumberFormat="1" applyFont="1" applyBorder="1" applyAlignment="1">
      <alignment horizontal="right" wrapText="1"/>
    </xf>
    <xf numFmtId="166" fontId="3" fillId="0" borderId="9" xfId="2" applyNumberFormat="1" applyFont="1" applyFill="1" applyBorder="1" applyAlignment="1">
      <alignment horizontal="right" wrapText="1"/>
    </xf>
    <xf numFmtId="1" fontId="3" fillId="0" borderId="9" xfId="3" applyNumberFormat="1" applyFont="1" applyBorder="1" applyAlignment="1">
      <alignment horizontal="right" wrapText="1"/>
    </xf>
    <xf numFmtId="1" fontId="3" fillId="0" borderId="9" xfId="9" applyNumberFormat="1" applyFont="1" applyFill="1" applyBorder="1" applyAlignment="1">
      <alignment horizontal="right" vertical="center" wrapText="1"/>
    </xf>
    <xf numFmtId="166" fontId="3" fillId="0" borderId="9" xfId="10" applyNumberFormat="1" applyFont="1" applyFill="1" applyBorder="1" applyAlignment="1">
      <alignment horizontal="right" vertical="center" wrapText="1"/>
    </xf>
    <xf numFmtId="1" fontId="3" fillId="0" borderId="9" xfId="10" applyNumberFormat="1" applyFont="1" applyFill="1" applyBorder="1" applyAlignment="1">
      <alignment horizontal="right" vertical="center" wrapText="1"/>
    </xf>
    <xf numFmtId="9" fontId="3" fillId="0" borderId="9" xfId="10" applyFont="1" applyFill="1" applyBorder="1" applyAlignment="1">
      <alignment horizontal="right" vertical="center" wrapText="1"/>
    </xf>
    <xf numFmtId="9" fontId="3" fillId="0" borderId="9" xfId="7" applyFont="1" applyFill="1" applyBorder="1" applyAlignment="1">
      <alignment horizontal="right" vertical="center" wrapText="1"/>
    </xf>
    <xf numFmtId="1" fontId="3" fillId="0" borderId="9" xfId="7" applyNumberFormat="1" applyFont="1" applyFill="1" applyBorder="1" applyAlignment="1">
      <alignment horizontal="right" vertical="center" wrapText="1"/>
    </xf>
    <xf numFmtId="1" fontId="3" fillId="0" borderId="9" xfId="4" applyNumberFormat="1" applyFont="1" applyBorder="1" applyAlignment="1">
      <alignment vertical="center"/>
    </xf>
    <xf numFmtId="9" fontId="3" fillId="0" borderId="9" xfId="11" applyNumberFormat="1" applyFont="1" applyBorder="1" applyAlignment="1">
      <alignment vertical="center" wrapText="1"/>
    </xf>
    <xf numFmtId="1" fontId="4" fillId="3" borderId="9" xfId="4" applyNumberFormat="1" applyFont="1" applyFill="1" applyBorder="1" applyAlignment="1">
      <alignment horizontal="right" vertical="center"/>
    </xf>
    <xf numFmtId="9" fontId="4" fillId="3" borderId="9" xfId="2" applyFont="1" applyFill="1" applyBorder="1" applyAlignment="1">
      <alignment horizontal="right" vertical="center"/>
    </xf>
    <xf numFmtId="1" fontId="3" fillId="0" borderId="9" xfId="4" applyNumberFormat="1" applyFont="1" applyBorder="1" applyAlignment="1">
      <alignment horizontal="right" vertical="center"/>
    </xf>
    <xf numFmtId="9" fontId="3" fillId="0" borderId="9" xfId="4" applyNumberFormat="1" applyFont="1" applyBorder="1" applyAlignment="1">
      <alignment horizontal="right" vertical="center"/>
    </xf>
    <xf numFmtId="0" fontId="4" fillId="0" borderId="0" xfId="4" applyFont="1"/>
    <xf numFmtId="0" fontId="4" fillId="0" borderId="0" xfId="0" applyFont="1"/>
    <xf numFmtId="0" fontId="10" fillId="0" borderId="10" xfId="0" applyFont="1" applyBorder="1" applyAlignment="1">
      <alignment vertical="top"/>
    </xf>
    <xf numFmtId="1" fontId="4" fillId="0" borderId="0" xfId="0" applyNumberFormat="1" applyFont="1"/>
    <xf numFmtId="1" fontId="4" fillId="0" borderId="0" xfId="4" applyNumberFormat="1" applyFont="1"/>
    <xf numFmtId="9" fontId="4" fillId="0" borderId="0" xfId="5" applyFont="1" applyFill="1"/>
    <xf numFmtId="9" fontId="4" fillId="0" borderId="0" xfId="4" applyNumberFormat="1" applyFont="1"/>
    <xf numFmtId="166" fontId="4" fillId="0" borderId="0" xfId="5" applyNumberFormat="1" applyFont="1" applyFill="1"/>
    <xf numFmtId="164" fontId="4" fillId="0" borderId="0" xfId="5" applyNumberFormat="1" applyFont="1" applyFill="1"/>
    <xf numFmtId="1" fontId="3" fillId="0" borderId="0" xfId="3" applyNumberFormat="1" applyFont="1" applyAlignment="1">
      <alignment vertical="top"/>
    </xf>
    <xf numFmtId="0" fontId="3" fillId="0" borderId="0" xfId="4" applyFont="1"/>
    <xf numFmtId="0" fontId="4" fillId="0" borderId="1" xfId="3" applyFont="1" applyBorder="1" applyAlignment="1">
      <alignment vertical="center"/>
    </xf>
    <xf numFmtId="0" fontId="6" fillId="0" borderId="4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3" fillId="0" borderId="6" xfId="4" applyNumberFormat="1" applyFont="1" applyBorder="1" applyAlignment="1">
      <alignment horizontal="center" vertical="center" wrapText="1"/>
    </xf>
    <xf numFmtId="1" fontId="3" fillId="0" borderId="11" xfId="4" applyNumberFormat="1" applyFont="1" applyBorder="1" applyAlignment="1">
      <alignment horizontal="center" vertical="center" wrapText="1"/>
    </xf>
    <xf numFmtId="1" fontId="3" fillId="0" borderId="10" xfId="4" applyNumberFormat="1" applyFont="1" applyBorder="1" applyAlignment="1">
      <alignment horizontal="center" vertical="center" wrapText="1"/>
    </xf>
    <xf numFmtId="1" fontId="3" fillId="0" borderId="12" xfId="4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" fontId="3" fillId="0" borderId="2" xfId="4" applyNumberFormat="1" applyFont="1" applyBorder="1" applyAlignment="1">
      <alignment horizontal="center" vertical="top" wrapText="1"/>
    </xf>
    <xf numFmtId="1" fontId="3" fillId="0" borderId="4" xfId="4" applyNumberFormat="1" applyFont="1" applyBorder="1" applyAlignment="1">
      <alignment horizontal="center" vertical="top" wrapText="1"/>
    </xf>
    <xf numFmtId="1" fontId="3" fillId="0" borderId="3" xfId="4" applyNumberFormat="1" applyFont="1" applyBorder="1" applyAlignment="1">
      <alignment horizontal="center" vertical="top" wrapText="1"/>
    </xf>
    <xf numFmtId="1" fontId="3" fillId="0" borderId="5" xfId="4" applyNumberFormat="1" applyFont="1" applyBorder="1" applyAlignment="1">
      <alignment horizontal="center" vertical="top" wrapText="1"/>
    </xf>
    <xf numFmtId="0" fontId="11" fillId="0" borderId="2" xfId="3" applyFont="1" applyBorder="1" applyAlignment="1">
      <alignment horizontal="center" vertical="center" wrapText="1"/>
    </xf>
    <xf numFmtId="0" fontId="11" fillId="0" borderId="0" xfId="4" applyFont="1"/>
    <xf numFmtId="49" fontId="8" fillId="2" borderId="8" xfId="6" applyNumberFormat="1" applyFont="1" applyFill="1" applyBorder="1" applyAlignment="1">
      <alignment vertical="center"/>
    </xf>
    <xf numFmtId="0" fontId="11" fillId="0" borderId="8" xfId="3" applyFont="1" applyBorder="1" applyAlignment="1">
      <alignment horizontal="center" vertical="center" wrapText="1"/>
    </xf>
    <xf numFmtId="1" fontId="11" fillId="0" borderId="8" xfId="3" applyNumberFormat="1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1" fontId="12" fillId="0" borderId="8" xfId="3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top" wrapText="1"/>
    </xf>
    <xf numFmtId="1" fontId="11" fillId="0" borderId="8" xfId="3" applyNumberFormat="1" applyFont="1" applyBorder="1" applyAlignment="1">
      <alignment horizontal="center" vertical="top" wrapText="1"/>
    </xf>
    <xf numFmtId="0" fontId="4" fillId="0" borderId="7" xfId="11" applyBorder="1" applyAlignment="1">
      <alignment horizontal="left" vertical="center"/>
    </xf>
    <xf numFmtId="0" fontId="4" fillId="0" borderId="8" xfId="11" applyBorder="1" applyAlignment="1">
      <alignment vertical="center"/>
    </xf>
    <xf numFmtId="169" fontId="4" fillId="0" borderId="8" xfId="1" applyNumberFormat="1" applyFont="1" applyFill="1" applyBorder="1" applyAlignment="1">
      <alignment horizontal="right"/>
    </xf>
    <xf numFmtId="169" fontId="4" fillId="0" borderId="8" xfId="1" applyNumberFormat="1" applyFont="1" applyFill="1" applyBorder="1" applyAlignment="1">
      <alignment horizontal="right" wrapText="1"/>
    </xf>
    <xf numFmtId="169" fontId="4" fillId="0" borderId="8" xfId="1" applyNumberFormat="1" applyFont="1" applyFill="1" applyBorder="1" applyAlignment="1">
      <alignment horizontal="right" vertical="center" wrapText="1"/>
    </xf>
    <xf numFmtId="169" fontId="4" fillId="0" borderId="8" xfId="1" applyNumberFormat="1" applyFont="1" applyFill="1" applyBorder="1" applyAlignment="1">
      <alignment horizontal="right" vertical="center"/>
    </xf>
    <xf numFmtId="169" fontId="5" fillId="0" borderId="8" xfId="1" applyNumberFormat="1" applyFont="1" applyBorder="1"/>
    <xf numFmtId="169" fontId="4" fillId="0" borderId="8" xfId="1" applyNumberFormat="1" applyFont="1" applyFill="1" applyBorder="1" applyAlignment="1">
      <alignment vertical="center"/>
    </xf>
    <xf numFmtId="169" fontId="4" fillId="3" borderId="8" xfId="1" applyNumberFormat="1" applyFont="1" applyFill="1" applyBorder="1" applyAlignment="1">
      <alignment horizontal="right" vertical="center"/>
    </xf>
    <xf numFmtId="0" fontId="3" fillId="0" borderId="7" xfId="11" applyFont="1" applyBorder="1" applyAlignment="1">
      <alignment horizontal="left" vertical="center"/>
    </xf>
    <xf numFmtId="0" fontId="3" fillId="0" borderId="8" xfId="11" applyFont="1" applyBorder="1" applyAlignment="1">
      <alignment vertical="center"/>
    </xf>
    <xf numFmtId="169" fontId="3" fillId="0" borderId="8" xfId="1" applyNumberFormat="1" applyFont="1" applyFill="1" applyBorder="1" applyAlignment="1">
      <alignment horizontal="right"/>
    </xf>
    <xf numFmtId="169" fontId="3" fillId="0" borderId="8" xfId="1" applyNumberFormat="1" applyFont="1" applyFill="1" applyBorder="1" applyAlignment="1">
      <alignment horizontal="right" wrapText="1"/>
    </xf>
    <xf numFmtId="169" fontId="3" fillId="0" borderId="8" xfId="1" applyNumberFormat="1" applyFont="1" applyFill="1" applyBorder="1" applyAlignment="1">
      <alignment horizontal="right" vertical="center" wrapText="1"/>
    </xf>
    <xf numFmtId="169" fontId="3" fillId="0" borderId="8" xfId="1" applyNumberFormat="1" applyFont="1" applyFill="1" applyBorder="1" applyAlignment="1">
      <alignment horizontal="right" vertical="center"/>
    </xf>
    <xf numFmtId="169" fontId="7" fillId="0" borderId="8" xfId="1" applyNumberFormat="1" applyFont="1" applyBorder="1"/>
    <xf numFmtId="169" fontId="3" fillId="0" borderId="8" xfId="1" applyNumberFormat="1" applyFont="1" applyFill="1" applyBorder="1" applyAlignment="1">
      <alignment vertical="center"/>
    </xf>
    <xf numFmtId="169" fontId="3" fillId="3" borderId="8" xfId="1" applyNumberFormat="1" applyFont="1" applyFill="1" applyBorder="1" applyAlignment="1">
      <alignment horizontal="right" vertical="center"/>
    </xf>
    <xf numFmtId="0" fontId="4" fillId="0" borderId="8" xfId="11" applyBorder="1" applyAlignment="1">
      <alignment horizontal="left" vertical="center"/>
    </xf>
    <xf numFmtId="0" fontId="4" fillId="0" borderId="8" xfId="11" quotePrefix="1" applyBorder="1" applyAlignment="1">
      <alignment horizontal="left" vertical="center"/>
    </xf>
    <xf numFmtId="169" fontId="4" fillId="0" borderId="8" xfId="1" applyNumberFormat="1" applyFont="1" applyFill="1" applyBorder="1" applyAlignment="1">
      <alignment vertical="top" wrapText="1"/>
    </xf>
    <xf numFmtId="169" fontId="4" fillId="3" borderId="8" xfId="1" applyNumberFormat="1" applyFont="1" applyFill="1" applyBorder="1" applyAlignment="1">
      <alignment vertical="top"/>
    </xf>
    <xf numFmtId="169" fontId="4" fillId="3" borderId="8" xfId="1" applyNumberFormat="1" applyFont="1" applyFill="1" applyBorder="1" applyAlignment="1">
      <alignment horizontal="right" vertical="top"/>
    </xf>
    <xf numFmtId="169" fontId="4" fillId="0" borderId="8" xfId="1" applyNumberFormat="1" applyFont="1" applyFill="1" applyBorder="1" applyAlignment="1">
      <alignment horizontal="right" vertical="top" wrapText="1"/>
    </xf>
    <xf numFmtId="49" fontId="9" fillId="0" borderId="8" xfId="11" applyNumberFormat="1" applyFont="1" applyBorder="1" applyAlignment="1">
      <alignment horizontal="left" vertical="center"/>
    </xf>
    <xf numFmtId="49" fontId="9" fillId="0" borderId="7" xfId="11" applyNumberFormat="1" applyFont="1" applyBorder="1" applyAlignment="1">
      <alignment horizontal="left" vertical="center"/>
    </xf>
    <xf numFmtId="0" fontId="4" fillId="0" borderId="7" xfId="11" quotePrefix="1" applyBorder="1" applyAlignment="1">
      <alignment horizontal="left" vertical="center"/>
    </xf>
    <xf numFmtId="169" fontId="14" fillId="0" borderId="8" xfId="1" applyNumberFormat="1" applyFont="1" applyBorder="1" applyAlignment="1">
      <alignment horizontal="right" vertical="center" wrapText="1"/>
    </xf>
    <xf numFmtId="169" fontId="5" fillId="0" borderId="8" xfId="1" applyNumberFormat="1" applyFont="1" applyFill="1" applyBorder="1"/>
    <xf numFmtId="169" fontId="7" fillId="0" borderId="8" xfId="1" applyNumberFormat="1" applyFont="1" applyFill="1" applyBorder="1" applyAlignment="1">
      <alignment horizontal="right" wrapText="1"/>
    </xf>
    <xf numFmtId="0" fontId="9" fillId="0" borderId="7" xfId="11" applyFont="1" applyBorder="1" applyAlignment="1">
      <alignment horizontal="left" vertical="center"/>
    </xf>
    <xf numFmtId="169" fontId="3" fillId="0" borderId="9" xfId="1" applyNumberFormat="1" applyFont="1" applyFill="1" applyBorder="1" applyAlignment="1">
      <alignment horizontal="right" wrapText="1"/>
    </xf>
    <xf numFmtId="169" fontId="7" fillId="0" borderId="9" xfId="1" applyNumberFormat="1" applyFont="1" applyFill="1" applyBorder="1" applyAlignment="1">
      <alignment horizontal="right" wrapText="1"/>
    </xf>
    <xf numFmtId="169" fontId="7" fillId="0" borderId="9" xfId="1" applyNumberFormat="1" applyFont="1" applyBorder="1"/>
    <xf numFmtId="169" fontId="3" fillId="0" borderId="9" xfId="1" applyNumberFormat="1" applyFont="1" applyFill="1" applyBorder="1" applyAlignment="1">
      <alignment vertical="center"/>
    </xf>
    <xf numFmtId="169" fontId="3" fillId="3" borderId="9" xfId="1" applyNumberFormat="1" applyFont="1" applyFill="1" applyBorder="1" applyAlignment="1">
      <alignment horizontal="right" vertical="center"/>
    </xf>
    <xf numFmtId="169" fontId="3" fillId="0" borderId="9" xfId="1" applyNumberFormat="1" applyFont="1" applyFill="1" applyBorder="1" applyAlignment="1">
      <alignment horizontal="right" vertical="center"/>
    </xf>
    <xf numFmtId="170" fontId="4" fillId="0" borderId="0" xfId="0" applyNumberFormat="1" applyFont="1"/>
    <xf numFmtId="0" fontId="3" fillId="0" borderId="0" xfId="4" applyFont="1" applyAlignment="1">
      <alignment horizontal="left"/>
    </xf>
  </cellXfs>
  <cellStyles count="13">
    <cellStyle name="Comma" xfId="1" builtinId="3"/>
    <cellStyle name="Comma 11" xfId="9" xr:uid="{A733F55F-22F4-48CA-B7D1-A7E009A95DE3}"/>
    <cellStyle name="Comma 2 15" xfId="12" xr:uid="{7AAB8DE5-BB98-491B-8882-7AAA6EE7D245}"/>
    <cellStyle name="Comma 3" xfId="8" xr:uid="{A4105165-FE90-4DA2-8460-1FD3EB17DF9D}"/>
    <cellStyle name="Excel Built-in Normal" xfId="3" xr:uid="{137E6516-B019-4B09-AFFE-C29C8B235DE0}"/>
    <cellStyle name="Normal" xfId="0" builtinId="0"/>
    <cellStyle name="Normal 2 10" xfId="11" xr:uid="{A0AE8C0D-7E9A-4CE0-999A-C290BEE85293}"/>
    <cellStyle name="Normal 2 2" xfId="6" xr:uid="{0E938762-B8F6-427D-8A8F-F53C9FB8EDBC}"/>
    <cellStyle name="Normal 2 5" xfId="4" xr:uid="{A02A79E3-6FAD-4349-91D8-FE9FB93DBDCA}"/>
    <cellStyle name="Percent" xfId="2" builtinId="5"/>
    <cellStyle name="Percent 2 15" xfId="5" xr:uid="{A6FD9774-6441-45F6-A575-520B4B69C13F}"/>
    <cellStyle name="Percent 2 2" xfId="7" xr:uid="{F6897631-6AF8-4489-AF7B-617897A7AE03}"/>
    <cellStyle name="Percent 6" xfId="10" xr:uid="{FAD277BC-96D6-4667-92FF-5710D9FC8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FA8A-C849-430D-A738-CAFD3C3FDE1D}">
  <dimension ref="A1:EG48"/>
  <sheetViews>
    <sheetView tabSelected="1" workbookViewId="0">
      <selection sqref="A1:XFD1048576"/>
    </sheetView>
  </sheetViews>
  <sheetFormatPr defaultRowHeight="12.75" x14ac:dyDescent="0.2"/>
  <cols>
    <col min="1" max="1" width="4.42578125" style="208" customWidth="1"/>
    <col min="2" max="2" width="41.42578125" style="134" bestFit="1" customWidth="1"/>
    <col min="3" max="3" width="7.7109375" style="125" bestFit="1" customWidth="1"/>
    <col min="4" max="6" width="9.28515625" style="125" bestFit="1" customWidth="1"/>
    <col min="7" max="7" width="7.85546875" style="125" bestFit="1" customWidth="1"/>
    <col min="8" max="8" width="9.28515625" style="125" bestFit="1" customWidth="1"/>
    <col min="9" max="9" width="10.28515625" style="125" bestFit="1" customWidth="1"/>
    <col min="10" max="10" width="7.85546875" style="125" bestFit="1" customWidth="1"/>
    <col min="11" max="11" width="9.28515625" style="125" bestFit="1" customWidth="1"/>
    <col min="12" max="12" width="10.28515625" style="125" bestFit="1" customWidth="1"/>
    <col min="13" max="13" width="7.85546875" style="125" bestFit="1" customWidth="1"/>
    <col min="14" max="14" width="9.28515625" style="125" bestFit="1" customWidth="1"/>
    <col min="15" max="15" width="11.28515625" style="125" bestFit="1" customWidth="1"/>
    <col min="16" max="16" width="9.28515625" style="125" bestFit="1" customWidth="1"/>
    <col min="17" max="17" width="10.28515625" style="125" bestFit="1" customWidth="1"/>
    <col min="18" max="18" width="8.7109375" style="4" customWidth="1"/>
    <col min="19" max="21" width="9.28515625" style="4" bestFit="1" customWidth="1"/>
    <col min="22" max="22" width="8.7109375" style="4" customWidth="1"/>
    <col min="23" max="23" width="9.28515625" style="4" bestFit="1" customWidth="1"/>
    <col min="24" max="24" width="10.28515625" style="4" bestFit="1" customWidth="1"/>
    <col min="25" max="25" width="8.7109375" style="4" customWidth="1"/>
    <col min="26" max="26" width="9.28515625" style="4" bestFit="1" customWidth="1"/>
    <col min="27" max="27" width="10.28515625" style="4" bestFit="1" customWidth="1"/>
    <col min="28" max="28" width="8.7109375" style="4" customWidth="1"/>
    <col min="29" max="29" width="9.28515625" style="4" bestFit="1" customWidth="1"/>
    <col min="30" max="30" width="11.28515625" style="4" bestFit="1" customWidth="1"/>
    <col min="31" max="31" width="9.28515625" style="4" bestFit="1" customWidth="1"/>
    <col min="32" max="32" width="10.28515625" style="4" bestFit="1" customWidth="1"/>
    <col min="33" max="33" width="7.28515625" style="4" bestFit="1" customWidth="1"/>
    <col min="34" max="36" width="9.28515625" style="4" bestFit="1" customWidth="1"/>
    <col min="37" max="37" width="7.85546875" style="4" bestFit="1" customWidth="1"/>
    <col min="38" max="39" width="10.28515625" style="4" bestFit="1" customWidth="1"/>
    <col min="40" max="40" width="7.85546875" style="4" bestFit="1" customWidth="1"/>
    <col min="41" max="41" width="9.28515625" style="4" bestFit="1" customWidth="1"/>
    <col min="42" max="42" width="10.28515625" style="4" bestFit="1" customWidth="1"/>
    <col min="43" max="43" width="8.7109375" style="4" customWidth="1"/>
    <col min="44" max="44" width="9.28515625" style="4" bestFit="1" customWidth="1"/>
    <col min="45" max="45" width="11.28515625" style="4" bestFit="1" customWidth="1"/>
    <col min="46" max="46" width="9.28515625" style="4" bestFit="1" customWidth="1"/>
    <col min="47" max="47" width="10.28515625" style="4" bestFit="1" customWidth="1"/>
    <col min="48" max="48" width="8.7109375" style="4" customWidth="1"/>
    <col min="49" max="51" width="9.28515625" style="4" bestFit="1" customWidth="1"/>
    <col min="52" max="52" width="8.7109375" style="4" customWidth="1"/>
    <col min="53" max="54" width="10.28515625" style="4" bestFit="1" customWidth="1"/>
    <col min="55" max="55" width="8.7109375" style="4" customWidth="1"/>
    <col min="56" max="56" width="9.28515625" style="4" bestFit="1" customWidth="1"/>
    <col min="57" max="57" width="10.28515625" style="4" bestFit="1" customWidth="1"/>
    <col min="58" max="58" width="8.7109375" style="4" customWidth="1"/>
    <col min="59" max="59" width="9.28515625" style="4" bestFit="1" customWidth="1"/>
    <col min="60" max="60" width="11.28515625" style="4" bestFit="1" customWidth="1"/>
    <col min="61" max="61" width="9.28515625" style="4" bestFit="1" customWidth="1"/>
    <col min="62" max="62" width="10.28515625" style="4" bestFit="1" customWidth="1"/>
    <col min="63" max="63" width="8.7109375" style="124" customWidth="1"/>
    <col min="64" max="66" width="9.28515625" style="124" bestFit="1" customWidth="1"/>
    <col min="67" max="67" width="8.7109375" style="124" customWidth="1"/>
    <col min="68" max="69" width="10.28515625" style="124" bestFit="1" customWidth="1"/>
    <col min="70" max="70" width="8.7109375" style="124" customWidth="1"/>
    <col min="71" max="71" width="9.28515625" style="124" bestFit="1" customWidth="1"/>
    <col min="72" max="72" width="10.28515625" style="124" bestFit="1" customWidth="1"/>
    <col min="73" max="73" width="8.7109375" style="124" customWidth="1"/>
    <col min="74" max="74" width="9.28515625" style="124" bestFit="1" customWidth="1"/>
    <col min="75" max="75" width="11.28515625" style="124" bestFit="1" customWidth="1"/>
    <col min="76" max="76" width="9.28515625" style="124" bestFit="1" customWidth="1"/>
    <col min="77" max="77" width="10.28515625" style="124" bestFit="1" customWidth="1"/>
    <col min="78" max="78" width="8.7109375" style="4" customWidth="1"/>
    <col min="79" max="80" width="9.28515625" style="4" bestFit="1" customWidth="1"/>
    <col min="81" max="81" width="10.28515625" style="4" bestFit="1" customWidth="1"/>
    <col min="82" max="82" width="8.7109375" style="4" customWidth="1"/>
    <col min="83" max="84" width="10.28515625" style="4" bestFit="1" customWidth="1"/>
    <col min="85" max="85" width="8.7109375" style="4" customWidth="1"/>
    <col min="86" max="86" width="10.28515625" style="4" bestFit="1" customWidth="1"/>
    <col min="87" max="87" width="11.28515625" style="4" bestFit="1" customWidth="1"/>
    <col min="88" max="88" width="8.7109375" style="4" customWidth="1"/>
    <col min="89" max="89" width="9.28515625" style="4" bestFit="1" customWidth="1"/>
    <col min="90" max="90" width="11.28515625" style="4" bestFit="1" customWidth="1"/>
    <col min="91" max="91" width="9.28515625" style="4" bestFit="1" customWidth="1"/>
    <col min="92" max="92" width="10.28515625" style="4" bestFit="1" customWidth="1"/>
    <col min="93" max="93" width="8.7109375" style="124" customWidth="1"/>
    <col min="94" max="96" width="9.28515625" style="124" bestFit="1" customWidth="1"/>
    <col min="97" max="97" width="8.7109375" style="124" customWidth="1"/>
    <col min="98" max="98" width="10.28515625" style="124" bestFit="1" customWidth="1"/>
    <col min="99" max="99" width="11.28515625" style="124" bestFit="1" customWidth="1"/>
    <col min="100" max="100" width="8.7109375" style="124" customWidth="1"/>
    <col min="101" max="102" width="10.28515625" style="124" bestFit="1" customWidth="1"/>
    <col min="103" max="103" width="8.7109375" style="124" customWidth="1"/>
    <col min="104" max="104" width="9.28515625" style="124" bestFit="1" customWidth="1"/>
    <col min="105" max="105" width="11.28515625" style="124" bestFit="1" customWidth="1"/>
    <col min="106" max="106" width="9.28515625" style="124" bestFit="1" customWidth="1"/>
    <col min="107" max="107" width="10.28515625" style="124" bestFit="1" customWidth="1"/>
    <col min="108" max="108" width="8.7109375" style="124" customWidth="1"/>
    <col min="109" max="112" width="9.28515625" style="124" bestFit="1" customWidth="1"/>
    <col min="113" max="113" width="10.28515625" style="124" bestFit="1" customWidth="1"/>
    <col min="114" max="114" width="11.28515625" style="124" bestFit="1" customWidth="1"/>
    <col min="115" max="115" width="8.7109375" style="124" customWidth="1"/>
    <col min="116" max="116" width="10.28515625" style="124" bestFit="1" customWidth="1"/>
    <col min="117" max="117" width="11.28515625" style="124" bestFit="1" customWidth="1"/>
    <col min="118" max="118" width="8.7109375" style="124" customWidth="1"/>
    <col min="119" max="119" width="9.28515625" style="124" bestFit="1" customWidth="1"/>
    <col min="120" max="120" width="12.5703125" style="124" customWidth="1"/>
    <col min="121" max="121" width="9.28515625" style="124" bestFit="1" customWidth="1"/>
    <col min="122" max="122" width="10.28515625" style="124" bestFit="1" customWidth="1"/>
    <col min="123" max="123" width="8.7109375" style="124" customWidth="1"/>
    <col min="124" max="127" width="9.28515625" style="124" bestFit="1" customWidth="1"/>
    <col min="128" max="128" width="10.28515625" style="124" bestFit="1" customWidth="1"/>
    <col min="129" max="129" width="11.28515625" style="124" bestFit="1" customWidth="1"/>
    <col min="130" max="130" width="8.7109375" style="124" customWidth="1"/>
    <col min="131" max="132" width="10.28515625" style="124" bestFit="1" customWidth="1"/>
    <col min="133" max="133" width="8.7109375" style="124" customWidth="1"/>
    <col min="134" max="134" width="9.28515625" style="124" bestFit="1" customWidth="1"/>
    <col min="135" max="135" width="11.28515625" style="124" customWidth="1"/>
    <col min="136" max="136" width="10.7109375" style="124" customWidth="1"/>
    <col min="137" max="137" width="11.140625" style="124" customWidth="1"/>
    <col min="138" max="298" width="9.140625" style="124"/>
    <col min="299" max="299" width="20.5703125" style="124" customWidth="1"/>
    <col min="300" max="314" width="9.7109375" style="124" customWidth="1"/>
    <col min="315" max="554" width="9.140625" style="124"/>
    <col min="555" max="555" width="20.5703125" style="124" customWidth="1"/>
    <col min="556" max="570" width="9.7109375" style="124" customWidth="1"/>
    <col min="571" max="810" width="9.140625" style="124"/>
    <col min="811" max="811" width="20.5703125" style="124" customWidth="1"/>
    <col min="812" max="826" width="9.7109375" style="124" customWidth="1"/>
    <col min="827" max="1066" width="9.140625" style="124"/>
    <col min="1067" max="1067" width="20.5703125" style="124" customWidth="1"/>
    <col min="1068" max="1082" width="9.7109375" style="124" customWidth="1"/>
    <col min="1083" max="1322" width="9.140625" style="124"/>
    <col min="1323" max="1323" width="20.5703125" style="124" customWidth="1"/>
    <col min="1324" max="1338" width="9.7109375" style="124" customWidth="1"/>
    <col min="1339" max="1578" width="9.140625" style="124"/>
    <col min="1579" max="1579" width="20.5703125" style="124" customWidth="1"/>
    <col min="1580" max="1594" width="9.7109375" style="124" customWidth="1"/>
    <col min="1595" max="1834" width="9.140625" style="124"/>
    <col min="1835" max="1835" width="20.5703125" style="124" customWidth="1"/>
    <col min="1836" max="1850" width="9.7109375" style="124" customWidth="1"/>
    <col min="1851" max="2090" width="9.140625" style="124"/>
    <col min="2091" max="2091" width="20.5703125" style="124" customWidth="1"/>
    <col min="2092" max="2106" width="9.7109375" style="124" customWidth="1"/>
    <col min="2107" max="2346" width="9.140625" style="124"/>
    <col min="2347" max="2347" width="20.5703125" style="124" customWidth="1"/>
    <col min="2348" max="2362" width="9.7109375" style="124" customWidth="1"/>
    <col min="2363" max="2602" width="9.140625" style="124"/>
    <col min="2603" max="2603" width="20.5703125" style="124" customWidth="1"/>
    <col min="2604" max="2618" width="9.7109375" style="124" customWidth="1"/>
    <col min="2619" max="2858" width="9.140625" style="124"/>
    <col min="2859" max="2859" width="20.5703125" style="124" customWidth="1"/>
    <col min="2860" max="2874" width="9.7109375" style="124" customWidth="1"/>
    <col min="2875" max="3114" width="9.140625" style="124"/>
    <col min="3115" max="3115" width="20.5703125" style="124" customWidth="1"/>
    <col min="3116" max="3130" width="9.7109375" style="124" customWidth="1"/>
    <col min="3131" max="3370" width="9.140625" style="124"/>
    <col min="3371" max="3371" width="20.5703125" style="124" customWidth="1"/>
    <col min="3372" max="3386" width="9.7109375" style="124" customWidth="1"/>
    <col min="3387" max="3626" width="9.140625" style="124"/>
    <col min="3627" max="3627" width="20.5703125" style="124" customWidth="1"/>
    <col min="3628" max="3642" width="9.7109375" style="124" customWidth="1"/>
    <col min="3643" max="3882" width="9.140625" style="124"/>
    <col min="3883" max="3883" width="20.5703125" style="124" customWidth="1"/>
    <col min="3884" max="3898" width="9.7109375" style="124" customWidth="1"/>
    <col min="3899" max="4138" width="9.140625" style="124"/>
    <col min="4139" max="4139" width="20.5703125" style="124" customWidth="1"/>
    <col min="4140" max="4154" width="9.7109375" style="124" customWidth="1"/>
    <col min="4155" max="4394" width="9.140625" style="124"/>
    <col min="4395" max="4395" width="20.5703125" style="124" customWidth="1"/>
    <col min="4396" max="4410" width="9.7109375" style="124" customWidth="1"/>
    <col min="4411" max="4650" width="9.140625" style="124"/>
    <col min="4651" max="4651" width="20.5703125" style="124" customWidth="1"/>
    <col min="4652" max="4666" width="9.7109375" style="124" customWidth="1"/>
    <col min="4667" max="4906" width="9.140625" style="124"/>
    <col min="4907" max="4907" width="20.5703125" style="124" customWidth="1"/>
    <col min="4908" max="4922" width="9.7109375" style="124" customWidth="1"/>
    <col min="4923" max="5162" width="9.140625" style="124"/>
    <col min="5163" max="5163" width="20.5703125" style="124" customWidth="1"/>
    <col min="5164" max="5178" width="9.7109375" style="124" customWidth="1"/>
    <col min="5179" max="5418" width="9.140625" style="124"/>
    <col min="5419" max="5419" width="20.5703125" style="124" customWidth="1"/>
    <col min="5420" max="5434" width="9.7109375" style="124" customWidth="1"/>
    <col min="5435" max="5674" width="9.140625" style="124"/>
    <col min="5675" max="5675" width="20.5703125" style="124" customWidth="1"/>
    <col min="5676" max="5690" width="9.7109375" style="124" customWidth="1"/>
    <col min="5691" max="5930" width="9.140625" style="124"/>
    <col min="5931" max="5931" width="20.5703125" style="124" customWidth="1"/>
    <col min="5932" max="5946" width="9.7109375" style="124" customWidth="1"/>
    <col min="5947" max="6186" width="9.140625" style="124"/>
    <col min="6187" max="6187" width="20.5703125" style="124" customWidth="1"/>
    <col min="6188" max="6202" width="9.7109375" style="124" customWidth="1"/>
    <col min="6203" max="6442" width="9.140625" style="124"/>
    <col min="6443" max="6443" width="20.5703125" style="124" customWidth="1"/>
    <col min="6444" max="6458" width="9.7109375" style="124" customWidth="1"/>
    <col min="6459" max="6698" width="9.140625" style="124"/>
    <col min="6699" max="6699" width="20.5703125" style="124" customWidth="1"/>
    <col min="6700" max="6714" width="9.7109375" style="124" customWidth="1"/>
    <col min="6715" max="6954" width="9.140625" style="124"/>
    <col min="6955" max="6955" width="20.5703125" style="124" customWidth="1"/>
    <col min="6956" max="6970" width="9.7109375" style="124" customWidth="1"/>
    <col min="6971" max="7210" width="9.140625" style="124"/>
    <col min="7211" max="7211" width="20.5703125" style="124" customWidth="1"/>
    <col min="7212" max="7226" width="9.7109375" style="124" customWidth="1"/>
    <col min="7227" max="7466" width="9.140625" style="124"/>
    <col min="7467" max="7467" width="20.5703125" style="124" customWidth="1"/>
    <col min="7468" max="7482" width="9.7109375" style="124" customWidth="1"/>
    <col min="7483" max="7722" width="9.140625" style="124"/>
    <col min="7723" max="7723" width="20.5703125" style="124" customWidth="1"/>
    <col min="7724" max="7738" width="9.7109375" style="124" customWidth="1"/>
    <col min="7739" max="7978" width="9.140625" style="124"/>
    <col min="7979" max="7979" width="20.5703125" style="124" customWidth="1"/>
    <col min="7980" max="7994" width="9.7109375" style="124" customWidth="1"/>
    <col min="7995" max="8234" width="9.140625" style="124"/>
    <col min="8235" max="8235" width="20.5703125" style="124" customWidth="1"/>
    <col min="8236" max="8250" width="9.7109375" style="124" customWidth="1"/>
    <col min="8251" max="8490" width="9.140625" style="124"/>
    <col min="8491" max="8491" width="20.5703125" style="124" customWidth="1"/>
    <col min="8492" max="8506" width="9.7109375" style="124" customWidth="1"/>
    <col min="8507" max="8746" width="9.140625" style="124"/>
    <col min="8747" max="8747" width="20.5703125" style="124" customWidth="1"/>
    <col min="8748" max="8762" width="9.7109375" style="124" customWidth="1"/>
    <col min="8763" max="9002" width="9.140625" style="124"/>
    <col min="9003" max="9003" width="20.5703125" style="124" customWidth="1"/>
    <col min="9004" max="9018" width="9.7109375" style="124" customWidth="1"/>
    <col min="9019" max="9258" width="9.140625" style="124"/>
    <col min="9259" max="9259" width="20.5703125" style="124" customWidth="1"/>
    <col min="9260" max="9274" width="9.7109375" style="124" customWidth="1"/>
    <col min="9275" max="9514" width="9.140625" style="124"/>
    <col min="9515" max="9515" width="20.5703125" style="124" customWidth="1"/>
    <col min="9516" max="9530" width="9.7109375" style="124" customWidth="1"/>
    <col min="9531" max="9770" width="9.140625" style="124"/>
    <col min="9771" max="9771" width="20.5703125" style="124" customWidth="1"/>
    <col min="9772" max="9786" width="9.7109375" style="124" customWidth="1"/>
    <col min="9787" max="10026" width="9.140625" style="124"/>
    <col min="10027" max="10027" width="20.5703125" style="124" customWidth="1"/>
    <col min="10028" max="10042" width="9.7109375" style="124" customWidth="1"/>
    <col min="10043" max="10282" width="9.140625" style="124"/>
    <col min="10283" max="10283" width="20.5703125" style="124" customWidth="1"/>
    <col min="10284" max="10298" width="9.7109375" style="124" customWidth="1"/>
    <col min="10299" max="10538" width="9.140625" style="124"/>
    <col min="10539" max="10539" width="20.5703125" style="124" customWidth="1"/>
    <col min="10540" max="10554" width="9.7109375" style="124" customWidth="1"/>
    <col min="10555" max="10794" width="9.140625" style="124"/>
    <col min="10795" max="10795" width="20.5703125" style="124" customWidth="1"/>
    <col min="10796" max="10810" width="9.7109375" style="124" customWidth="1"/>
    <col min="10811" max="11050" width="9.140625" style="124"/>
    <col min="11051" max="11051" width="20.5703125" style="124" customWidth="1"/>
    <col min="11052" max="11066" width="9.7109375" style="124" customWidth="1"/>
    <col min="11067" max="11306" width="9.140625" style="124"/>
    <col min="11307" max="11307" width="20.5703125" style="124" customWidth="1"/>
    <col min="11308" max="11322" width="9.7109375" style="124" customWidth="1"/>
    <col min="11323" max="11562" width="9.140625" style="124"/>
    <col min="11563" max="11563" width="20.5703125" style="124" customWidth="1"/>
    <col min="11564" max="11578" width="9.7109375" style="124" customWidth="1"/>
    <col min="11579" max="11818" width="9.140625" style="124"/>
    <col min="11819" max="11819" width="20.5703125" style="124" customWidth="1"/>
    <col min="11820" max="11834" width="9.7109375" style="124" customWidth="1"/>
    <col min="11835" max="12074" width="9.140625" style="124"/>
    <col min="12075" max="12075" width="20.5703125" style="124" customWidth="1"/>
    <col min="12076" max="12090" width="9.7109375" style="124" customWidth="1"/>
    <col min="12091" max="12330" width="9.140625" style="124"/>
    <col min="12331" max="12331" width="20.5703125" style="124" customWidth="1"/>
    <col min="12332" max="12346" width="9.7109375" style="124" customWidth="1"/>
    <col min="12347" max="12586" width="9.140625" style="124"/>
    <col min="12587" max="12587" width="20.5703125" style="124" customWidth="1"/>
    <col min="12588" max="12602" width="9.7109375" style="124" customWidth="1"/>
    <col min="12603" max="12842" width="9.140625" style="124"/>
    <col min="12843" max="12843" width="20.5703125" style="124" customWidth="1"/>
    <col min="12844" max="12858" width="9.7109375" style="124" customWidth="1"/>
    <col min="12859" max="13098" width="9.140625" style="124"/>
    <col min="13099" max="13099" width="20.5703125" style="124" customWidth="1"/>
    <col min="13100" max="13114" width="9.7109375" style="124" customWidth="1"/>
    <col min="13115" max="13354" width="9.140625" style="124"/>
    <col min="13355" max="13355" width="20.5703125" style="124" customWidth="1"/>
    <col min="13356" max="13370" width="9.7109375" style="124" customWidth="1"/>
    <col min="13371" max="13610" width="9.140625" style="124"/>
    <col min="13611" max="13611" width="20.5703125" style="124" customWidth="1"/>
    <col min="13612" max="13626" width="9.7109375" style="124" customWidth="1"/>
    <col min="13627" max="13866" width="9.140625" style="124"/>
    <col min="13867" max="13867" width="20.5703125" style="124" customWidth="1"/>
    <col min="13868" max="13882" width="9.7109375" style="124" customWidth="1"/>
    <col min="13883" max="14122" width="9.140625" style="124"/>
    <col min="14123" max="14123" width="20.5703125" style="124" customWidth="1"/>
    <col min="14124" max="14138" width="9.7109375" style="124" customWidth="1"/>
    <col min="14139" max="14378" width="9.140625" style="124"/>
    <col min="14379" max="14379" width="20.5703125" style="124" customWidth="1"/>
    <col min="14380" max="14394" width="9.7109375" style="124" customWidth="1"/>
    <col min="14395" max="14634" width="9.140625" style="124"/>
    <col min="14635" max="14635" width="20.5703125" style="124" customWidth="1"/>
    <col min="14636" max="14650" width="9.7109375" style="124" customWidth="1"/>
    <col min="14651" max="14890" width="9.140625" style="124"/>
    <col min="14891" max="14891" width="20.5703125" style="124" customWidth="1"/>
    <col min="14892" max="14906" width="9.7109375" style="124" customWidth="1"/>
    <col min="14907" max="15146" width="9.140625" style="124"/>
    <col min="15147" max="15147" width="20.5703125" style="124" customWidth="1"/>
    <col min="15148" max="15162" width="9.7109375" style="124" customWidth="1"/>
    <col min="15163" max="15402" width="9.140625" style="124"/>
    <col min="15403" max="15403" width="20.5703125" style="124" customWidth="1"/>
    <col min="15404" max="15418" width="9.7109375" style="124" customWidth="1"/>
    <col min="15419" max="15658" width="9.140625" style="124"/>
    <col min="15659" max="15659" width="20.5703125" style="124" customWidth="1"/>
    <col min="15660" max="15674" width="9.7109375" style="124" customWidth="1"/>
    <col min="15675" max="15914" width="9.140625" style="124"/>
    <col min="15915" max="15915" width="20.5703125" style="124" customWidth="1"/>
    <col min="15916" max="15930" width="9.7109375" style="124" customWidth="1"/>
    <col min="15931" max="16170" width="9.140625" style="124"/>
    <col min="16171" max="16171" width="20.5703125" style="124" customWidth="1"/>
    <col min="16172" max="16186" width="9.7109375" style="124" customWidth="1"/>
    <col min="16187" max="16384" width="9.140625" style="124"/>
  </cols>
  <sheetData>
    <row r="1" spans="1:137" s="134" customFormat="1" x14ac:dyDescent="0.2">
      <c r="A1" s="133" t="s">
        <v>72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</row>
    <row r="2" spans="1:137" s="134" customForma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5"/>
      <c r="DH2" s="135"/>
      <c r="DI2" s="135"/>
      <c r="DJ2" s="135"/>
      <c r="DK2" s="135"/>
      <c r="DL2" s="135"/>
      <c r="DM2" s="135"/>
      <c r="DN2" s="135"/>
      <c r="DO2" s="135"/>
      <c r="DP2" s="135"/>
      <c r="DQ2" s="135"/>
      <c r="DR2" s="135"/>
      <c r="DS2" s="135"/>
      <c r="DT2" s="135"/>
      <c r="DU2" s="135"/>
      <c r="DV2" s="135"/>
      <c r="DW2" s="135"/>
      <c r="DX2" s="135"/>
      <c r="DY2" s="135"/>
      <c r="DZ2" s="135"/>
      <c r="EA2" s="135"/>
      <c r="EB2" s="135"/>
      <c r="EC2" s="135"/>
      <c r="ED2" s="135"/>
      <c r="EE2" s="135"/>
      <c r="EF2" s="135"/>
      <c r="EG2" s="135"/>
    </row>
    <row r="3" spans="1:137" s="134" customFormat="1" x14ac:dyDescent="0.2">
      <c r="A3" s="5" t="s">
        <v>2</v>
      </c>
      <c r="B3" s="6" t="s">
        <v>3</v>
      </c>
      <c r="C3" s="7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36" t="s">
        <v>5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137"/>
      <c r="AG3" s="138" t="s">
        <v>6</v>
      </c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 t="s">
        <v>7</v>
      </c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9" t="s">
        <v>8</v>
      </c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40" t="s">
        <v>9</v>
      </c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1"/>
      <c r="CL3" s="141"/>
      <c r="CM3" s="141"/>
      <c r="CN3" s="142"/>
      <c r="CO3" s="140" t="s">
        <v>10</v>
      </c>
      <c r="CP3" s="141"/>
      <c r="CQ3" s="141"/>
      <c r="CR3" s="141"/>
      <c r="CS3" s="141"/>
      <c r="CT3" s="141"/>
      <c r="CU3" s="141"/>
      <c r="CV3" s="141"/>
      <c r="CW3" s="141"/>
      <c r="CX3" s="141"/>
      <c r="CY3" s="141"/>
      <c r="CZ3" s="141"/>
      <c r="DA3" s="141"/>
      <c r="DB3" s="141"/>
      <c r="DC3" s="142"/>
      <c r="DD3" s="140" t="s">
        <v>11</v>
      </c>
      <c r="DE3" s="141"/>
      <c r="DF3" s="141"/>
      <c r="DG3" s="141"/>
      <c r="DH3" s="141"/>
      <c r="DI3" s="141"/>
      <c r="DJ3" s="141"/>
      <c r="DK3" s="141"/>
      <c r="DL3" s="141"/>
      <c r="DM3" s="141"/>
      <c r="DN3" s="141"/>
      <c r="DO3" s="141"/>
      <c r="DP3" s="141"/>
      <c r="DQ3" s="141"/>
      <c r="DR3" s="142"/>
      <c r="DS3" s="140" t="s">
        <v>12</v>
      </c>
      <c r="DT3" s="141"/>
      <c r="DU3" s="141"/>
      <c r="DV3" s="141"/>
      <c r="DW3" s="141"/>
      <c r="DX3" s="141"/>
      <c r="DY3" s="141"/>
      <c r="DZ3" s="141"/>
      <c r="EA3" s="141"/>
      <c r="EB3" s="141"/>
      <c r="EC3" s="141"/>
      <c r="ED3" s="141"/>
      <c r="EE3" s="141"/>
      <c r="EF3" s="141"/>
      <c r="EG3" s="142"/>
    </row>
    <row r="4" spans="1:137" s="134" customFormat="1" x14ac:dyDescent="0.2">
      <c r="A4" s="5"/>
      <c r="B4" s="6"/>
      <c r="C4" s="11" t="s">
        <v>18</v>
      </c>
      <c r="D4" s="11"/>
      <c r="E4" s="11"/>
      <c r="F4" s="11" t="s">
        <v>73</v>
      </c>
      <c r="G4" s="11"/>
      <c r="H4" s="11"/>
      <c r="I4" s="11" t="s">
        <v>15</v>
      </c>
      <c r="J4" s="11"/>
      <c r="K4" s="11"/>
      <c r="L4" s="11" t="s">
        <v>16</v>
      </c>
      <c r="M4" s="11"/>
      <c r="N4" s="11"/>
      <c r="O4" s="11" t="s">
        <v>74</v>
      </c>
      <c r="P4" s="11"/>
      <c r="Q4" s="11"/>
      <c r="R4" s="15" t="s">
        <v>18</v>
      </c>
      <c r="S4" s="15"/>
      <c r="T4" s="15"/>
      <c r="U4" s="143" t="s">
        <v>14</v>
      </c>
      <c r="V4" s="143"/>
      <c r="W4" s="143"/>
      <c r="X4" s="143" t="s">
        <v>15</v>
      </c>
      <c r="Y4" s="143"/>
      <c r="Z4" s="143"/>
      <c r="AA4" s="143" t="s">
        <v>75</v>
      </c>
      <c r="AB4" s="143"/>
      <c r="AC4" s="143"/>
      <c r="AD4" s="144" t="s">
        <v>74</v>
      </c>
      <c r="AE4" s="145"/>
      <c r="AF4" s="146"/>
      <c r="AG4" s="147" t="s">
        <v>18</v>
      </c>
      <c r="AH4" s="147"/>
      <c r="AI4" s="147"/>
      <c r="AJ4" s="147" t="s">
        <v>73</v>
      </c>
      <c r="AK4" s="147"/>
      <c r="AL4" s="147"/>
      <c r="AM4" s="148" t="s">
        <v>19</v>
      </c>
      <c r="AN4" s="148"/>
      <c r="AO4" s="148"/>
      <c r="AP4" s="149" t="s">
        <v>20</v>
      </c>
      <c r="AQ4" s="150"/>
      <c r="AR4" s="151"/>
      <c r="AS4" s="152" t="s">
        <v>74</v>
      </c>
      <c r="AT4" s="152"/>
      <c r="AU4" s="152"/>
      <c r="AV4" s="10" t="s">
        <v>18</v>
      </c>
      <c r="AW4" s="10"/>
      <c r="AX4" s="10"/>
      <c r="AY4" s="10" t="s">
        <v>73</v>
      </c>
      <c r="AZ4" s="10"/>
      <c r="BA4" s="10"/>
      <c r="BB4" s="10" t="s">
        <v>19</v>
      </c>
      <c r="BC4" s="10"/>
      <c r="BD4" s="10"/>
      <c r="BE4" s="10" t="s">
        <v>20</v>
      </c>
      <c r="BF4" s="10"/>
      <c r="BG4" s="10"/>
      <c r="BH4" s="10" t="s">
        <v>74</v>
      </c>
      <c r="BI4" s="10"/>
      <c r="BJ4" s="10"/>
      <c r="BK4" s="10" t="s">
        <v>18</v>
      </c>
      <c r="BL4" s="10"/>
      <c r="BM4" s="10"/>
      <c r="BN4" s="153" t="s">
        <v>76</v>
      </c>
      <c r="BO4" s="154"/>
      <c r="BP4" s="155"/>
      <c r="BQ4" s="10" t="s">
        <v>19</v>
      </c>
      <c r="BR4" s="10"/>
      <c r="BS4" s="10"/>
      <c r="BT4" s="10" t="s">
        <v>20</v>
      </c>
      <c r="BU4" s="10"/>
      <c r="BV4" s="10"/>
      <c r="BW4" s="10" t="s">
        <v>74</v>
      </c>
      <c r="BX4" s="10"/>
      <c r="BY4" s="10"/>
      <c r="BZ4" s="156" t="s">
        <v>22</v>
      </c>
      <c r="CA4" s="156"/>
      <c r="CB4" s="156"/>
      <c r="CC4" s="156" t="s">
        <v>76</v>
      </c>
      <c r="CD4" s="156"/>
      <c r="CE4" s="156"/>
      <c r="CF4" s="156" t="s">
        <v>19</v>
      </c>
      <c r="CG4" s="156"/>
      <c r="CH4" s="156"/>
      <c r="CI4" s="157" t="s">
        <v>20</v>
      </c>
      <c r="CJ4" s="158"/>
      <c r="CK4" s="159"/>
      <c r="CL4" s="156" t="s">
        <v>74</v>
      </c>
      <c r="CM4" s="156"/>
      <c r="CN4" s="156"/>
      <c r="CO4" s="156" t="s">
        <v>18</v>
      </c>
      <c r="CP4" s="156"/>
      <c r="CQ4" s="156"/>
      <c r="CR4" s="156" t="s">
        <v>76</v>
      </c>
      <c r="CS4" s="156"/>
      <c r="CT4" s="156"/>
      <c r="CU4" s="156" t="s">
        <v>19</v>
      </c>
      <c r="CV4" s="156"/>
      <c r="CW4" s="156"/>
      <c r="CX4" s="157" t="s">
        <v>20</v>
      </c>
      <c r="CY4" s="158"/>
      <c r="CZ4" s="159"/>
      <c r="DA4" s="156" t="s">
        <v>74</v>
      </c>
      <c r="DB4" s="156"/>
      <c r="DC4" s="156"/>
      <c r="DD4" s="156" t="s">
        <v>18</v>
      </c>
      <c r="DE4" s="156"/>
      <c r="DF4" s="156"/>
      <c r="DG4" s="156" t="s">
        <v>76</v>
      </c>
      <c r="DH4" s="156"/>
      <c r="DI4" s="156"/>
      <c r="DJ4" s="156" t="s">
        <v>19</v>
      </c>
      <c r="DK4" s="156"/>
      <c r="DL4" s="156"/>
      <c r="DM4" s="157" t="s">
        <v>20</v>
      </c>
      <c r="DN4" s="158"/>
      <c r="DO4" s="159"/>
      <c r="DP4" s="156" t="s">
        <v>74</v>
      </c>
      <c r="DQ4" s="156"/>
      <c r="DR4" s="156"/>
      <c r="DS4" s="156" t="s">
        <v>18</v>
      </c>
      <c r="DT4" s="156"/>
      <c r="DU4" s="156"/>
      <c r="DV4" s="156" t="s">
        <v>76</v>
      </c>
      <c r="DW4" s="156"/>
      <c r="DX4" s="156"/>
      <c r="DY4" s="156" t="s">
        <v>19</v>
      </c>
      <c r="DZ4" s="156"/>
      <c r="EA4" s="156"/>
      <c r="EB4" s="157" t="s">
        <v>20</v>
      </c>
      <c r="EC4" s="158"/>
      <c r="ED4" s="159"/>
      <c r="EE4" s="156" t="s">
        <v>74</v>
      </c>
      <c r="EF4" s="156"/>
      <c r="EG4" s="156"/>
    </row>
    <row r="5" spans="1:137" s="161" customFormat="1" ht="48" x14ac:dyDescent="0.2">
      <c r="A5" s="5"/>
      <c r="B5" s="6"/>
      <c r="C5" s="160" t="s">
        <v>77</v>
      </c>
      <c r="D5" s="160" t="s">
        <v>78</v>
      </c>
      <c r="E5" s="160" t="s">
        <v>79</v>
      </c>
      <c r="F5" s="160" t="s">
        <v>77</v>
      </c>
      <c r="G5" s="160" t="s">
        <v>78</v>
      </c>
      <c r="H5" s="160" t="s">
        <v>79</v>
      </c>
      <c r="I5" s="160" t="s">
        <v>77</v>
      </c>
      <c r="J5" s="160" t="s">
        <v>78</v>
      </c>
      <c r="K5" s="160" t="s">
        <v>79</v>
      </c>
      <c r="L5" s="160" t="s">
        <v>77</v>
      </c>
      <c r="M5" s="160" t="s">
        <v>78</v>
      </c>
      <c r="N5" s="160" t="s">
        <v>79</v>
      </c>
      <c r="O5" s="160" t="s">
        <v>77</v>
      </c>
      <c r="P5" s="160" t="s">
        <v>78</v>
      </c>
      <c r="Q5" s="160" t="s">
        <v>79</v>
      </c>
      <c r="R5" s="160" t="s">
        <v>77</v>
      </c>
      <c r="S5" s="160" t="s">
        <v>78</v>
      </c>
      <c r="T5" s="160" t="s">
        <v>79</v>
      </c>
      <c r="U5" s="160" t="s">
        <v>77</v>
      </c>
      <c r="V5" s="160" t="s">
        <v>78</v>
      </c>
      <c r="W5" s="160" t="s">
        <v>79</v>
      </c>
      <c r="X5" s="160" t="s">
        <v>77</v>
      </c>
      <c r="Y5" s="160" t="s">
        <v>78</v>
      </c>
      <c r="Z5" s="160" t="s">
        <v>79</v>
      </c>
      <c r="AA5" s="160" t="s">
        <v>77</v>
      </c>
      <c r="AB5" s="160" t="s">
        <v>78</v>
      </c>
      <c r="AC5" s="160" t="s">
        <v>79</v>
      </c>
      <c r="AD5" s="160" t="s">
        <v>77</v>
      </c>
      <c r="AE5" s="160" t="s">
        <v>78</v>
      </c>
      <c r="AF5" s="160" t="s">
        <v>79</v>
      </c>
      <c r="AG5" s="160" t="s">
        <v>77</v>
      </c>
      <c r="AH5" s="160" t="s">
        <v>78</v>
      </c>
      <c r="AI5" s="160" t="s">
        <v>79</v>
      </c>
      <c r="AJ5" s="160" t="s">
        <v>77</v>
      </c>
      <c r="AK5" s="160" t="s">
        <v>78</v>
      </c>
      <c r="AL5" s="160" t="s">
        <v>79</v>
      </c>
      <c r="AM5" s="160" t="s">
        <v>77</v>
      </c>
      <c r="AN5" s="160" t="s">
        <v>78</v>
      </c>
      <c r="AO5" s="160" t="s">
        <v>79</v>
      </c>
      <c r="AP5" s="160" t="s">
        <v>77</v>
      </c>
      <c r="AQ5" s="160" t="s">
        <v>78</v>
      </c>
      <c r="AR5" s="160" t="s">
        <v>79</v>
      </c>
      <c r="AS5" s="160" t="s">
        <v>77</v>
      </c>
      <c r="AT5" s="160" t="s">
        <v>78</v>
      </c>
      <c r="AU5" s="160" t="s">
        <v>79</v>
      </c>
      <c r="AV5" s="160" t="s">
        <v>77</v>
      </c>
      <c r="AW5" s="160" t="s">
        <v>78</v>
      </c>
      <c r="AX5" s="160" t="s">
        <v>79</v>
      </c>
      <c r="AY5" s="160" t="s">
        <v>77</v>
      </c>
      <c r="AZ5" s="160" t="s">
        <v>78</v>
      </c>
      <c r="BA5" s="160" t="s">
        <v>79</v>
      </c>
      <c r="BB5" s="160" t="s">
        <v>77</v>
      </c>
      <c r="BC5" s="160" t="s">
        <v>78</v>
      </c>
      <c r="BD5" s="160" t="s">
        <v>79</v>
      </c>
      <c r="BE5" s="160" t="s">
        <v>77</v>
      </c>
      <c r="BF5" s="160" t="s">
        <v>78</v>
      </c>
      <c r="BG5" s="160" t="s">
        <v>79</v>
      </c>
      <c r="BH5" s="160" t="s">
        <v>77</v>
      </c>
      <c r="BI5" s="160" t="s">
        <v>78</v>
      </c>
      <c r="BJ5" s="160" t="s">
        <v>79</v>
      </c>
      <c r="BK5" s="160" t="s">
        <v>77</v>
      </c>
      <c r="BL5" s="160" t="s">
        <v>78</v>
      </c>
      <c r="BM5" s="160" t="s">
        <v>79</v>
      </c>
      <c r="BN5" s="160" t="s">
        <v>77</v>
      </c>
      <c r="BO5" s="160" t="s">
        <v>78</v>
      </c>
      <c r="BP5" s="160" t="s">
        <v>79</v>
      </c>
      <c r="BQ5" s="160" t="s">
        <v>77</v>
      </c>
      <c r="BR5" s="160" t="s">
        <v>78</v>
      </c>
      <c r="BS5" s="160" t="s">
        <v>79</v>
      </c>
      <c r="BT5" s="160" t="s">
        <v>77</v>
      </c>
      <c r="BU5" s="160" t="s">
        <v>78</v>
      </c>
      <c r="BV5" s="160" t="s">
        <v>79</v>
      </c>
      <c r="BW5" s="160" t="s">
        <v>77</v>
      </c>
      <c r="BX5" s="160" t="s">
        <v>78</v>
      </c>
      <c r="BY5" s="160" t="s">
        <v>79</v>
      </c>
      <c r="BZ5" s="160" t="s">
        <v>77</v>
      </c>
      <c r="CA5" s="160" t="s">
        <v>78</v>
      </c>
      <c r="CB5" s="160" t="s">
        <v>79</v>
      </c>
      <c r="CC5" s="160" t="s">
        <v>77</v>
      </c>
      <c r="CD5" s="160" t="s">
        <v>78</v>
      </c>
      <c r="CE5" s="160" t="s">
        <v>79</v>
      </c>
      <c r="CF5" s="160" t="s">
        <v>77</v>
      </c>
      <c r="CG5" s="160" t="s">
        <v>78</v>
      </c>
      <c r="CH5" s="160" t="s">
        <v>79</v>
      </c>
      <c r="CI5" s="160" t="s">
        <v>77</v>
      </c>
      <c r="CJ5" s="160" t="s">
        <v>78</v>
      </c>
      <c r="CK5" s="160" t="s">
        <v>79</v>
      </c>
      <c r="CL5" s="160" t="s">
        <v>77</v>
      </c>
      <c r="CM5" s="160" t="s">
        <v>78</v>
      </c>
      <c r="CN5" s="160" t="s">
        <v>79</v>
      </c>
      <c r="CO5" s="160" t="s">
        <v>77</v>
      </c>
      <c r="CP5" s="160" t="s">
        <v>78</v>
      </c>
      <c r="CQ5" s="160" t="s">
        <v>79</v>
      </c>
      <c r="CR5" s="160" t="s">
        <v>77</v>
      </c>
      <c r="CS5" s="160" t="s">
        <v>78</v>
      </c>
      <c r="CT5" s="160" t="s">
        <v>79</v>
      </c>
      <c r="CU5" s="160" t="s">
        <v>77</v>
      </c>
      <c r="CV5" s="160" t="s">
        <v>78</v>
      </c>
      <c r="CW5" s="160" t="s">
        <v>79</v>
      </c>
      <c r="CX5" s="160" t="s">
        <v>77</v>
      </c>
      <c r="CY5" s="160" t="s">
        <v>78</v>
      </c>
      <c r="CZ5" s="160" t="s">
        <v>79</v>
      </c>
      <c r="DA5" s="160" t="s">
        <v>77</v>
      </c>
      <c r="DB5" s="160" t="s">
        <v>78</v>
      </c>
      <c r="DC5" s="160" t="s">
        <v>79</v>
      </c>
      <c r="DD5" s="160" t="s">
        <v>77</v>
      </c>
      <c r="DE5" s="160" t="s">
        <v>78</v>
      </c>
      <c r="DF5" s="160" t="s">
        <v>79</v>
      </c>
      <c r="DG5" s="160" t="s">
        <v>77</v>
      </c>
      <c r="DH5" s="160" t="s">
        <v>78</v>
      </c>
      <c r="DI5" s="160" t="s">
        <v>79</v>
      </c>
      <c r="DJ5" s="160" t="s">
        <v>77</v>
      </c>
      <c r="DK5" s="160" t="s">
        <v>78</v>
      </c>
      <c r="DL5" s="160" t="s">
        <v>79</v>
      </c>
      <c r="DM5" s="160" t="s">
        <v>77</v>
      </c>
      <c r="DN5" s="160" t="s">
        <v>78</v>
      </c>
      <c r="DO5" s="160" t="s">
        <v>79</v>
      </c>
      <c r="DP5" s="160" t="s">
        <v>77</v>
      </c>
      <c r="DQ5" s="160" t="s">
        <v>78</v>
      </c>
      <c r="DR5" s="160" t="s">
        <v>79</v>
      </c>
      <c r="DS5" s="160" t="s">
        <v>77</v>
      </c>
      <c r="DT5" s="160" t="s">
        <v>78</v>
      </c>
      <c r="DU5" s="160" t="s">
        <v>79</v>
      </c>
      <c r="DV5" s="160" t="s">
        <v>77</v>
      </c>
      <c r="DW5" s="160" t="s">
        <v>78</v>
      </c>
      <c r="DX5" s="160" t="s">
        <v>79</v>
      </c>
      <c r="DY5" s="160" t="s">
        <v>77</v>
      </c>
      <c r="DZ5" s="160" t="s">
        <v>78</v>
      </c>
      <c r="EA5" s="160" t="s">
        <v>79</v>
      </c>
      <c r="EB5" s="160" t="s">
        <v>77</v>
      </c>
      <c r="EC5" s="160" t="s">
        <v>78</v>
      </c>
      <c r="ED5" s="160" t="s">
        <v>79</v>
      </c>
      <c r="EE5" s="160" t="s">
        <v>77</v>
      </c>
      <c r="EF5" s="160" t="s">
        <v>78</v>
      </c>
      <c r="EG5" s="160" t="s">
        <v>79</v>
      </c>
    </row>
    <row r="6" spans="1:137" s="161" customFormat="1" x14ac:dyDescent="0.2">
      <c r="A6" s="27"/>
      <c r="B6" s="162" t="s">
        <v>28</v>
      </c>
      <c r="C6" s="163"/>
      <c r="D6" s="163"/>
      <c r="E6" s="163"/>
      <c r="F6" s="164"/>
      <c r="G6" s="164"/>
      <c r="H6" s="163"/>
      <c r="I6" s="164"/>
      <c r="J6" s="164"/>
      <c r="K6" s="163"/>
      <c r="L6" s="164"/>
      <c r="M6" s="164"/>
      <c r="N6" s="163"/>
      <c r="O6" s="164"/>
      <c r="P6" s="164"/>
      <c r="Q6" s="163"/>
      <c r="R6" s="165"/>
      <c r="S6" s="165"/>
      <c r="T6" s="165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8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8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8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8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  <c r="EG6" s="169"/>
    </row>
    <row r="7" spans="1:137" x14ac:dyDescent="0.2">
      <c r="A7" s="170">
        <v>1</v>
      </c>
      <c r="B7" s="171" t="s">
        <v>29</v>
      </c>
      <c r="C7" s="172">
        <v>31655</v>
      </c>
      <c r="D7" s="172">
        <v>55263.722000000002</v>
      </c>
      <c r="E7" s="173">
        <v>62987.57531</v>
      </c>
      <c r="F7" s="172">
        <v>9711</v>
      </c>
      <c r="G7" s="172">
        <v>769.72399999999993</v>
      </c>
      <c r="H7" s="173">
        <v>132558.67778</v>
      </c>
      <c r="I7" s="172">
        <v>177729</v>
      </c>
      <c r="J7" s="172">
        <v>488.75400000000002</v>
      </c>
      <c r="K7" s="173">
        <v>14259.41948</v>
      </c>
      <c r="L7" s="172">
        <v>1388616</v>
      </c>
      <c r="M7" s="172">
        <v>4332.4818999999998</v>
      </c>
      <c r="N7" s="173">
        <v>91164.22</v>
      </c>
      <c r="O7" s="172">
        <v>1607711</v>
      </c>
      <c r="P7" s="172">
        <v>60854.681900000003</v>
      </c>
      <c r="Q7" s="173">
        <v>300969.89257000003</v>
      </c>
      <c r="R7" s="174">
        <v>29501</v>
      </c>
      <c r="S7" s="174">
        <v>73429.642000000007</v>
      </c>
      <c r="T7" s="174">
        <v>94323.219809999995</v>
      </c>
      <c r="U7" s="175">
        <v>10061</v>
      </c>
      <c r="V7" s="175">
        <v>5050.6220000000003</v>
      </c>
      <c r="W7" s="174">
        <v>154077.57846600001</v>
      </c>
      <c r="X7" s="175">
        <v>220487</v>
      </c>
      <c r="Y7" s="175">
        <v>686.41800000000001</v>
      </c>
      <c r="Z7" s="174">
        <v>17501.564900000001</v>
      </c>
      <c r="AA7" s="175">
        <v>1448917</v>
      </c>
      <c r="AB7" s="175">
        <v>4207.6149999999998</v>
      </c>
      <c r="AC7" s="174">
        <v>107728.32436659999</v>
      </c>
      <c r="AD7" s="175">
        <v>1708966</v>
      </c>
      <c r="AE7" s="175">
        <v>83374.29700000002</v>
      </c>
      <c r="AF7" s="174">
        <v>373630.68754259998</v>
      </c>
      <c r="AG7" s="176">
        <v>21</v>
      </c>
      <c r="AH7" s="176">
        <v>75493</v>
      </c>
      <c r="AI7" s="176">
        <v>86903</v>
      </c>
      <c r="AJ7" s="176">
        <v>10021</v>
      </c>
      <c r="AK7" s="176">
        <v>5262</v>
      </c>
      <c r="AL7" s="176">
        <v>182105</v>
      </c>
      <c r="AM7" s="176">
        <v>584809</v>
      </c>
      <c r="AN7" s="176">
        <v>1620</v>
      </c>
      <c r="AO7" s="176">
        <v>32715</v>
      </c>
      <c r="AP7" s="176">
        <v>1154480</v>
      </c>
      <c r="AQ7" s="176">
        <v>2727</v>
      </c>
      <c r="AR7" s="176">
        <v>101438</v>
      </c>
      <c r="AS7" s="176">
        <v>1749331</v>
      </c>
      <c r="AT7" s="176">
        <v>85102</v>
      </c>
      <c r="AU7" s="176">
        <v>403161</v>
      </c>
      <c r="AV7" s="176">
        <v>26</v>
      </c>
      <c r="AW7" s="176">
        <v>91200</v>
      </c>
      <c r="AX7" s="176">
        <v>95290</v>
      </c>
      <c r="AY7" s="176">
        <v>9937</v>
      </c>
      <c r="AZ7" s="176">
        <v>7948</v>
      </c>
      <c r="BA7" s="176">
        <v>232610</v>
      </c>
      <c r="BB7" s="176">
        <v>638797</v>
      </c>
      <c r="BC7" s="176">
        <v>1863.2</v>
      </c>
      <c r="BD7" s="176">
        <v>40219</v>
      </c>
      <c r="BE7" s="176">
        <v>1131270</v>
      </c>
      <c r="BF7" s="176">
        <v>2526</v>
      </c>
      <c r="BG7" s="176">
        <v>105245</v>
      </c>
      <c r="BH7" s="176">
        <v>1780030</v>
      </c>
      <c r="BI7" s="176">
        <v>103537.2</v>
      </c>
      <c r="BJ7" s="176">
        <v>473364</v>
      </c>
      <c r="BK7" s="177">
        <v>53</v>
      </c>
      <c r="BL7" s="177">
        <v>129590.50899999999</v>
      </c>
      <c r="BM7" s="177">
        <v>144694</v>
      </c>
      <c r="BN7" s="177">
        <v>8430</v>
      </c>
      <c r="BO7" s="177">
        <v>9458.9220000000005</v>
      </c>
      <c r="BP7" s="177">
        <v>233988</v>
      </c>
      <c r="BQ7" s="177">
        <v>718541</v>
      </c>
      <c r="BR7" s="177">
        <v>1243.934</v>
      </c>
      <c r="BS7" s="177">
        <v>47108</v>
      </c>
      <c r="BT7" s="177">
        <v>1080837</v>
      </c>
      <c r="BU7" s="177">
        <v>1920.0930000000001</v>
      </c>
      <c r="BV7" s="177">
        <v>107101</v>
      </c>
      <c r="BW7" s="177">
        <v>1807861</v>
      </c>
      <c r="BX7" s="177">
        <v>142213.45799999998</v>
      </c>
      <c r="BY7" s="177">
        <v>532891</v>
      </c>
      <c r="BZ7" s="178">
        <v>20</v>
      </c>
      <c r="CA7" s="178">
        <v>136541</v>
      </c>
      <c r="CB7" s="178">
        <v>217904</v>
      </c>
      <c r="CC7" s="178">
        <v>6662</v>
      </c>
      <c r="CD7" s="178">
        <v>7336</v>
      </c>
      <c r="CE7" s="178">
        <v>207020</v>
      </c>
      <c r="CF7" s="178">
        <v>633681</v>
      </c>
      <c r="CG7" s="178">
        <v>1560</v>
      </c>
      <c r="CH7" s="178">
        <v>50816</v>
      </c>
      <c r="CI7" s="178">
        <v>1084927</v>
      </c>
      <c r="CJ7" s="178">
        <v>2291</v>
      </c>
      <c r="CK7" s="178">
        <v>113256</v>
      </c>
      <c r="CL7" s="178">
        <v>1725290</v>
      </c>
      <c r="CM7" s="178">
        <v>147728</v>
      </c>
      <c r="CN7" s="178">
        <v>588996</v>
      </c>
      <c r="CO7" s="175">
        <v>21</v>
      </c>
      <c r="CP7" s="175">
        <v>143864</v>
      </c>
      <c r="CQ7" s="175">
        <v>156724</v>
      </c>
      <c r="CR7" s="175">
        <v>5287</v>
      </c>
      <c r="CS7" s="175">
        <v>5337.3</v>
      </c>
      <c r="CT7" s="175">
        <v>197247</v>
      </c>
      <c r="CU7" s="175">
        <v>398363</v>
      </c>
      <c r="CV7" s="175">
        <v>1233.104</v>
      </c>
      <c r="CW7" s="175">
        <v>48804</v>
      </c>
      <c r="CX7" s="175">
        <v>1151621</v>
      </c>
      <c r="CY7" s="175">
        <v>2559.9</v>
      </c>
      <c r="CZ7" s="175">
        <v>124992</v>
      </c>
      <c r="DA7" s="175">
        <v>1555292</v>
      </c>
      <c r="DB7" s="175">
        <v>152994.30399999997</v>
      </c>
      <c r="DC7" s="175">
        <v>527767</v>
      </c>
      <c r="DD7" s="175">
        <v>7</v>
      </c>
      <c r="DE7" s="175">
        <v>36572</v>
      </c>
      <c r="DF7" s="175">
        <v>50699</v>
      </c>
      <c r="DG7" s="175">
        <v>4025</v>
      </c>
      <c r="DH7" s="175">
        <v>7762.3799999999992</v>
      </c>
      <c r="DI7" s="175">
        <v>295747.68</v>
      </c>
      <c r="DJ7" s="175">
        <v>468794</v>
      </c>
      <c r="DK7" s="175">
        <v>1269.04</v>
      </c>
      <c r="DL7" s="175">
        <v>65007</v>
      </c>
      <c r="DM7" s="175">
        <v>1031638</v>
      </c>
      <c r="DN7" s="175">
        <v>2419.9500000000007</v>
      </c>
      <c r="DO7" s="175">
        <v>143291.97</v>
      </c>
      <c r="DP7" s="175">
        <v>1504464</v>
      </c>
      <c r="DQ7" s="175">
        <v>48023.369999999995</v>
      </c>
      <c r="DR7" s="175">
        <v>554745.65</v>
      </c>
      <c r="DS7" s="175">
        <v>2</v>
      </c>
      <c r="DT7" s="175">
        <v>36573.4</v>
      </c>
      <c r="DU7" s="175">
        <v>34589.1</v>
      </c>
      <c r="DV7" s="175">
        <v>4472</v>
      </c>
      <c r="DW7" s="175">
        <v>8655.9</v>
      </c>
      <c r="DX7" s="175">
        <v>327329.3</v>
      </c>
      <c r="DY7" s="175">
        <v>431057</v>
      </c>
      <c r="DZ7" s="175">
        <v>1317.9</v>
      </c>
      <c r="EA7" s="175">
        <v>69915.7</v>
      </c>
      <c r="EB7" s="175">
        <v>871461</v>
      </c>
      <c r="EC7" s="175">
        <v>1757.6</v>
      </c>
      <c r="ED7" s="175">
        <v>152862.70000000001</v>
      </c>
      <c r="EE7" s="175">
        <v>1306992</v>
      </c>
      <c r="EF7" s="175">
        <v>48304.800000000003</v>
      </c>
      <c r="EG7" s="175">
        <v>584696.79999999993</v>
      </c>
    </row>
    <row r="8" spans="1:137" x14ac:dyDescent="0.2">
      <c r="A8" s="170">
        <v>2</v>
      </c>
      <c r="B8" s="171" t="s">
        <v>30</v>
      </c>
      <c r="C8" s="172">
        <v>26</v>
      </c>
      <c r="D8" s="172">
        <v>6786.0700000000006</v>
      </c>
      <c r="E8" s="173">
        <v>10385.38903</v>
      </c>
      <c r="F8" s="172">
        <v>5665</v>
      </c>
      <c r="G8" s="172">
        <v>6426.8580000000002</v>
      </c>
      <c r="H8" s="173">
        <v>172471.89439999999</v>
      </c>
      <c r="I8" s="172">
        <v>95981</v>
      </c>
      <c r="J8" s="172">
        <v>336.017</v>
      </c>
      <c r="K8" s="173">
        <v>9257.4566500000001</v>
      </c>
      <c r="L8" s="172">
        <v>1491673</v>
      </c>
      <c r="M8" s="172">
        <v>4907.7610000000004</v>
      </c>
      <c r="N8" s="173">
        <v>138029.53787999999</v>
      </c>
      <c r="O8" s="172">
        <v>1593345</v>
      </c>
      <c r="P8" s="172">
        <v>18456.705999999998</v>
      </c>
      <c r="Q8" s="173">
        <v>330144.27795999998</v>
      </c>
      <c r="R8" s="174">
        <v>82</v>
      </c>
      <c r="S8" s="174">
        <v>23222.990999999998</v>
      </c>
      <c r="T8" s="174">
        <v>43893.057399999998</v>
      </c>
      <c r="U8" s="175">
        <v>11964</v>
      </c>
      <c r="V8" s="175">
        <v>9404.9060000000009</v>
      </c>
      <c r="W8" s="174">
        <v>188098.81261000005</v>
      </c>
      <c r="X8" s="175">
        <v>628937</v>
      </c>
      <c r="Y8" s="175">
        <v>2044.8489999999999</v>
      </c>
      <c r="Z8" s="174">
        <v>57961.728719999999</v>
      </c>
      <c r="AA8" s="175">
        <v>989626</v>
      </c>
      <c r="AB8" s="175">
        <v>2321.4299999999998</v>
      </c>
      <c r="AC8" s="174">
        <v>103025.3134</v>
      </c>
      <c r="AD8" s="175">
        <v>1630609</v>
      </c>
      <c r="AE8" s="175">
        <v>36994.175999999999</v>
      </c>
      <c r="AF8" s="174">
        <v>392978.91213000001</v>
      </c>
      <c r="AG8" s="176">
        <v>106</v>
      </c>
      <c r="AH8" s="176">
        <v>62039</v>
      </c>
      <c r="AI8" s="176">
        <v>67200</v>
      </c>
      <c r="AJ8" s="176">
        <v>14726</v>
      </c>
      <c r="AK8" s="176">
        <v>10508</v>
      </c>
      <c r="AL8" s="176">
        <v>245391</v>
      </c>
      <c r="AM8" s="176">
        <v>480488</v>
      </c>
      <c r="AN8" s="176">
        <v>1613</v>
      </c>
      <c r="AO8" s="176">
        <v>42584</v>
      </c>
      <c r="AP8" s="176">
        <v>1210877</v>
      </c>
      <c r="AQ8" s="176">
        <v>2965</v>
      </c>
      <c r="AR8" s="176">
        <v>128358</v>
      </c>
      <c r="AS8" s="176">
        <v>1706197</v>
      </c>
      <c r="AT8" s="176">
        <v>77124</v>
      </c>
      <c r="AU8" s="176">
        <v>483532</v>
      </c>
      <c r="AV8" s="176">
        <v>148</v>
      </c>
      <c r="AW8" s="176">
        <v>80098.964000000007</v>
      </c>
      <c r="AX8" s="176">
        <v>88655.397949999999</v>
      </c>
      <c r="AY8" s="176">
        <v>17688</v>
      </c>
      <c r="AZ8" s="176">
        <v>10735.525</v>
      </c>
      <c r="BA8" s="176">
        <v>325173.40908999991</v>
      </c>
      <c r="BB8" s="176">
        <v>1314597</v>
      </c>
      <c r="BC8" s="176">
        <v>4298.509</v>
      </c>
      <c r="BD8" s="176">
        <v>153432.49257</v>
      </c>
      <c r="BE8" s="176">
        <v>452869</v>
      </c>
      <c r="BF8" s="176">
        <v>452.86900000000003</v>
      </c>
      <c r="BG8" s="176">
        <v>27392.39111</v>
      </c>
      <c r="BH8" s="176">
        <v>1785302</v>
      </c>
      <c r="BI8" s="176">
        <v>95585.867000000013</v>
      </c>
      <c r="BJ8" s="176">
        <v>594653.69071999984</v>
      </c>
      <c r="BK8" s="177">
        <v>161</v>
      </c>
      <c r="BL8" s="177">
        <v>64650.307000000001</v>
      </c>
      <c r="BM8" s="177">
        <v>120930.23505999999</v>
      </c>
      <c r="BN8" s="177">
        <v>37122</v>
      </c>
      <c r="BO8" s="177">
        <v>10992.153</v>
      </c>
      <c r="BP8" s="177">
        <v>374122.75083999999</v>
      </c>
      <c r="BQ8" s="177">
        <v>781566</v>
      </c>
      <c r="BR8" s="177">
        <v>2602.37</v>
      </c>
      <c r="BS8" s="177">
        <v>82874.0147</v>
      </c>
      <c r="BT8" s="177">
        <v>928701</v>
      </c>
      <c r="BU8" s="177">
        <v>1867.3789999999999</v>
      </c>
      <c r="BV8" s="177">
        <v>121661.71149</v>
      </c>
      <c r="BW8" s="177">
        <v>1747550</v>
      </c>
      <c r="BX8" s="177">
        <v>80112.209000000003</v>
      </c>
      <c r="BY8" s="177">
        <v>699588.71208999993</v>
      </c>
      <c r="BZ8" s="178">
        <v>97</v>
      </c>
      <c r="CA8" s="178">
        <v>69670.130999999994</v>
      </c>
      <c r="CB8" s="178">
        <v>126754.18203</v>
      </c>
      <c r="CC8" s="178">
        <v>64239</v>
      </c>
      <c r="CD8" s="178">
        <v>13696.175999999999</v>
      </c>
      <c r="CE8" s="178">
        <v>474637.35811999999</v>
      </c>
      <c r="CF8" s="178">
        <v>805414</v>
      </c>
      <c r="CG8" s="178">
        <v>2655.12</v>
      </c>
      <c r="CH8" s="178">
        <v>100698.12012000001</v>
      </c>
      <c r="CI8" s="178">
        <v>813756</v>
      </c>
      <c r="CJ8" s="178">
        <v>1539.154</v>
      </c>
      <c r="CK8" s="178">
        <v>122029.90362</v>
      </c>
      <c r="CL8" s="178">
        <v>1683506</v>
      </c>
      <c r="CM8" s="178">
        <v>87560.580999999991</v>
      </c>
      <c r="CN8" s="178">
        <v>824119.56388999999</v>
      </c>
      <c r="CO8" s="175">
        <v>98</v>
      </c>
      <c r="CP8" s="175">
        <v>70021.219000000012</v>
      </c>
      <c r="CQ8" s="175">
        <v>65184.071709999997</v>
      </c>
      <c r="CR8" s="175">
        <v>74829</v>
      </c>
      <c r="CS8" s="175">
        <v>15845.188</v>
      </c>
      <c r="CT8" s="175">
        <v>647543.35997999995</v>
      </c>
      <c r="CU8" s="175">
        <v>815973</v>
      </c>
      <c r="CV8" s="175">
        <v>2669.2759999999998</v>
      </c>
      <c r="CW8" s="175">
        <v>106513.47418</v>
      </c>
      <c r="CX8" s="175">
        <v>774537</v>
      </c>
      <c r="CY8" s="175">
        <v>1361.4570000000001</v>
      </c>
      <c r="CZ8" s="175">
        <v>118937.03856</v>
      </c>
      <c r="DA8" s="175">
        <v>1665437</v>
      </c>
      <c r="DB8" s="175">
        <v>89897.14</v>
      </c>
      <c r="DC8" s="175">
        <v>938177.94443000003</v>
      </c>
      <c r="DD8" s="175">
        <v>45</v>
      </c>
      <c r="DE8" s="175">
        <v>102396.34699999999</v>
      </c>
      <c r="DF8" s="175">
        <v>45296.344010000001</v>
      </c>
      <c r="DG8" s="175">
        <v>59988</v>
      </c>
      <c r="DH8" s="175">
        <v>19011.186000000002</v>
      </c>
      <c r="DI8" s="175">
        <v>784203.55478999997</v>
      </c>
      <c r="DJ8" s="175">
        <v>846010</v>
      </c>
      <c r="DK8" s="175">
        <v>2756.4639999999999</v>
      </c>
      <c r="DL8" s="175">
        <v>118755.23656999999</v>
      </c>
      <c r="DM8" s="175">
        <v>1007619</v>
      </c>
      <c r="DN8" s="175">
        <v>1668.8869999999999</v>
      </c>
      <c r="DO8" s="175">
        <v>129800.19735</v>
      </c>
      <c r="DP8" s="175">
        <v>1913662</v>
      </c>
      <c r="DQ8" s="175">
        <v>125832.88400000001</v>
      </c>
      <c r="DR8" s="175">
        <v>1078055.3327199998</v>
      </c>
      <c r="DS8" s="175">
        <v>4</v>
      </c>
      <c r="DT8" s="175">
        <v>59700</v>
      </c>
      <c r="DU8" s="175">
        <v>129943.90736</v>
      </c>
      <c r="DV8" s="175">
        <v>54405</v>
      </c>
      <c r="DW8" s="175">
        <v>28743.025000000001</v>
      </c>
      <c r="DX8" s="175">
        <v>1058807.48061</v>
      </c>
      <c r="DY8" s="175">
        <v>854787</v>
      </c>
      <c r="DZ8" s="175">
        <v>2768.86</v>
      </c>
      <c r="EA8" s="175">
        <v>127901.51926</v>
      </c>
      <c r="EB8" s="175">
        <v>822622</v>
      </c>
      <c r="EC8" s="175">
        <v>1341.048</v>
      </c>
      <c r="ED8" s="175">
        <v>126092.31759000001</v>
      </c>
      <c r="EE8" s="175">
        <v>1731818</v>
      </c>
      <c r="EF8" s="175">
        <v>92552.933000000005</v>
      </c>
      <c r="EG8" s="175">
        <v>1442745.2248200001</v>
      </c>
    </row>
    <row r="9" spans="1:137" x14ac:dyDescent="0.2">
      <c r="A9" s="170">
        <v>3</v>
      </c>
      <c r="B9" s="171" t="s">
        <v>31</v>
      </c>
      <c r="C9" s="172">
        <v>58</v>
      </c>
      <c r="D9" s="172">
        <v>1579</v>
      </c>
      <c r="E9" s="173">
        <v>17225.88</v>
      </c>
      <c r="F9" s="172">
        <v>4457</v>
      </c>
      <c r="G9" s="172">
        <v>4357.8469999999998</v>
      </c>
      <c r="H9" s="173">
        <v>90187.34</v>
      </c>
      <c r="I9" s="172">
        <v>576597</v>
      </c>
      <c r="J9" s="172">
        <v>1614.471</v>
      </c>
      <c r="K9" s="173">
        <v>45181.77</v>
      </c>
      <c r="L9" s="172">
        <v>626030</v>
      </c>
      <c r="M9" s="172">
        <v>1095.5519999999999</v>
      </c>
      <c r="N9" s="173">
        <v>35004.01</v>
      </c>
      <c r="O9" s="172">
        <v>1207142</v>
      </c>
      <c r="P9" s="172">
        <v>8646.8700000000008</v>
      </c>
      <c r="Q9" s="173">
        <v>187599</v>
      </c>
      <c r="R9" s="174">
        <v>35</v>
      </c>
      <c r="S9" s="174">
        <v>15442.444</v>
      </c>
      <c r="T9" s="174">
        <v>5289.36</v>
      </c>
      <c r="U9" s="174">
        <v>166131</v>
      </c>
      <c r="V9" s="174">
        <v>4854.1959999999999</v>
      </c>
      <c r="W9" s="174">
        <v>113378</v>
      </c>
      <c r="X9" s="174">
        <v>687945</v>
      </c>
      <c r="Y9" s="174">
        <v>1934.7460000000001</v>
      </c>
      <c r="Z9" s="174">
        <v>55593.84</v>
      </c>
      <c r="AA9" s="174">
        <v>487493</v>
      </c>
      <c r="AB9" s="174">
        <v>824.57100000000003</v>
      </c>
      <c r="AC9" s="174">
        <v>30312.09</v>
      </c>
      <c r="AD9" s="174">
        <v>1341604</v>
      </c>
      <c r="AE9" s="174">
        <v>23055.956999999999</v>
      </c>
      <c r="AF9" s="174">
        <v>204573.29</v>
      </c>
      <c r="AG9" s="176">
        <v>8</v>
      </c>
      <c r="AH9" s="176">
        <v>2469</v>
      </c>
      <c r="AI9" s="176">
        <v>1435</v>
      </c>
      <c r="AJ9" s="176">
        <v>223061</v>
      </c>
      <c r="AK9" s="176">
        <v>5410</v>
      </c>
      <c r="AL9" s="176">
        <v>160471</v>
      </c>
      <c r="AM9" s="176">
        <v>756652</v>
      </c>
      <c r="AN9" s="176">
        <v>2046</v>
      </c>
      <c r="AO9" s="176">
        <v>65221</v>
      </c>
      <c r="AP9" s="176">
        <v>449703</v>
      </c>
      <c r="AQ9" s="176">
        <v>910</v>
      </c>
      <c r="AR9" s="176">
        <v>33671</v>
      </c>
      <c r="AS9" s="176">
        <v>1429424</v>
      </c>
      <c r="AT9" s="176">
        <v>10835</v>
      </c>
      <c r="AU9" s="176">
        <v>260798</v>
      </c>
      <c r="AV9" s="176">
        <v>6</v>
      </c>
      <c r="AW9" s="176">
        <v>2171.5509999999999</v>
      </c>
      <c r="AX9" s="176">
        <v>4807.7299999999996</v>
      </c>
      <c r="AY9" s="176">
        <v>260421</v>
      </c>
      <c r="AZ9" s="176">
        <v>13740.617</v>
      </c>
      <c r="BA9" s="176">
        <v>202687.98460999998</v>
      </c>
      <c r="BB9" s="176">
        <v>711719</v>
      </c>
      <c r="BC9" s="176">
        <v>2014.277</v>
      </c>
      <c r="BD9" s="176">
        <v>87020.679040000003</v>
      </c>
      <c r="BE9" s="176">
        <v>406627</v>
      </c>
      <c r="BF9" s="176">
        <v>675.23200000000008</v>
      </c>
      <c r="BG9" s="176">
        <v>36824.294410000002</v>
      </c>
      <c r="BH9" s="176">
        <v>1378773</v>
      </c>
      <c r="BI9" s="176">
        <v>18601.677</v>
      </c>
      <c r="BJ9" s="176">
        <v>331340.68805999996</v>
      </c>
      <c r="BK9" s="177">
        <v>11</v>
      </c>
      <c r="BL9" s="177">
        <v>4831.8239999999996</v>
      </c>
      <c r="BM9" s="177">
        <v>2981.95892</v>
      </c>
      <c r="BN9" s="177">
        <v>260704</v>
      </c>
      <c r="BO9" s="177">
        <v>8182.308</v>
      </c>
      <c r="BP9" s="177">
        <v>226699.29753800001</v>
      </c>
      <c r="BQ9" s="177">
        <v>706253</v>
      </c>
      <c r="BR9" s="177">
        <v>2473.2959999999998</v>
      </c>
      <c r="BS9" s="177">
        <v>92475.748792999992</v>
      </c>
      <c r="BT9" s="177">
        <v>355512</v>
      </c>
      <c r="BU9" s="177">
        <v>670.26199999999994</v>
      </c>
      <c r="BV9" s="177">
        <v>35713.268329999999</v>
      </c>
      <c r="BW9" s="177">
        <v>1322480</v>
      </c>
      <c r="BX9" s="177">
        <v>16157.69</v>
      </c>
      <c r="BY9" s="177">
        <v>357870.27358099999</v>
      </c>
      <c r="BZ9" s="178">
        <v>19</v>
      </c>
      <c r="CA9" s="178">
        <v>20958.080999999998</v>
      </c>
      <c r="CB9" s="178">
        <v>18773.947489999999</v>
      </c>
      <c r="CC9" s="178">
        <v>216014</v>
      </c>
      <c r="CD9" s="178">
        <v>6359.0029999999997</v>
      </c>
      <c r="CE9" s="178">
        <v>253173.9866225</v>
      </c>
      <c r="CF9" s="178">
        <v>705243</v>
      </c>
      <c r="CG9" s="178">
        <v>2407.087</v>
      </c>
      <c r="CH9" s="178">
        <v>98209.653770000004</v>
      </c>
      <c r="CI9" s="178">
        <v>329536</v>
      </c>
      <c r="CJ9" s="178">
        <v>601.08600000000001</v>
      </c>
      <c r="CK9" s="178">
        <v>34613.87947</v>
      </c>
      <c r="CL9" s="178">
        <v>1250812</v>
      </c>
      <c r="CM9" s="178">
        <v>30325.256999999998</v>
      </c>
      <c r="CN9" s="178">
        <v>404771.46735250001</v>
      </c>
      <c r="CO9" s="175">
        <v>18</v>
      </c>
      <c r="CP9" s="175">
        <v>29178.357</v>
      </c>
      <c r="CQ9" s="175">
        <v>35629.0337</v>
      </c>
      <c r="CR9" s="175">
        <v>201660</v>
      </c>
      <c r="CS9" s="175">
        <v>6568.9830000000002</v>
      </c>
      <c r="CT9" s="175">
        <v>292558.78002999997</v>
      </c>
      <c r="CU9" s="175">
        <v>696460</v>
      </c>
      <c r="CV9" s="175">
        <v>2345.5059999999999</v>
      </c>
      <c r="CW9" s="175">
        <v>102022.63819</v>
      </c>
      <c r="CX9" s="175">
        <v>306152</v>
      </c>
      <c r="CY9" s="175">
        <v>541.16200000000003</v>
      </c>
      <c r="CZ9" s="175">
        <v>34052.434580000001</v>
      </c>
      <c r="DA9" s="175">
        <v>1204290</v>
      </c>
      <c r="DB9" s="175">
        <v>38634.007999999994</v>
      </c>
      <c r="DC9" s="175">
        <v>464262.88649999991</v>
      </c>
      <c r="DD9" s="175">
        <v>42</v>
      </c>
      <c r="DE9" s="175">
        <v>25116.956000000002</v>
      </c>
      <c r="DF9" s="175">
        <v>22343.18</v>
      </c>
      <c r="DG9" s="175">
        <v>194768</v>
      </c>
      <c r="DH9" s="175">
        <v>6935.076</v>
      </c>
      <c r="DI9" s="175">
        <v>279944.04767</v>
      </c>
      <c r="DJ9" s="175">
        <v>678941</v>
      </c>
      <c r="DK9" s="175">
        <v>2254.837</v>
      </c>
      <c r="DL9" s="175">
        <v>108045.10699</v>
      </c>
      <c r="DM9" s="175">
        <v>1557841</v>
      </c>
      <c r="DN9" s="175">
        <v>2498.1230000000005</v>
      </c>
      <c r="DO9" s="175">
        <v>55639.868300000002</v>
      </c>
      <c r="DP9" s="175">
        <v>2431592</v>
      </c>
      <c r="DQ9" s="175">
        <v>36804.992000000006</v>
      </c>
      <c r="DR9" s="175">
        <v>465972.20296000002</v>
      </c>
      <c r="DS9" s="175">
        <v>28</v>
      </c>
      <c r="DT9" s="175">
        <v>25775.716</v>
      </c>
      <c r="DU9" s="175">
        <v>82260.011960000003</v>
      </c>
      <c r="DV9" s="175">
        <v>125139</v>
      </c>
      <c r="DW9" s="175">
        <v>10298.370999999999</v>
      </c>
      <c r="DX9" s="175">
        <v>406154.5695708</v>
      </c>
      <c r="DY9" s="175">
        <v>634052</v>
      </c>
      <c r="DZ9" s="175">
        <v>2065.4380000000001</v>
      </c>
      <c r="EA9" s="175">
        <v>110844.90996</v>
      </c>
      <c r="EB9" s="175">
        <v>346388</v>
      </c>
      <c r="EC9" s="175">
        <v>633.61800000000005</v>
      </c>
      <c r="ED9" s="175">
        <v>35859.930899999999</v>
      </c>
      <c r="EE9" s="175">
        <v>1105607</v>
      </c>
      <c r="EF9" s="175">
        <v>38773.142999999996</v>
      </c>
      <c r="EG9" s="175">
        <v>635119.42239079997</v>
      </c>
    </row>
    <row r="10" spans="1:137" x14ac:dyDescent="0.2">
      <c r="A10" s="170">
        <v>4</v>
      </c>
      <c r="B10" s="171" t="s">
        <v>32</v>
      </c>
      <c r="C10" s="172">
        <v>24</v>
      </c>
      <c r="D10" s="172">
        <v>43004</v>
      </c>
      <c r="E10" s="173">
        <v>35483</v>
      </c>
      <c r="F10" s="172">
        <v>137008</v>
      </c>
      <c r="G10" s="172">
        <v>10598</v>
      </c>
      <c r="H10" s="173">
        <v>153313</v>
      </c>
      <c r="I10" s="172">
        <v>328128</v>
      </c>
      <c r="J10" s="172">
        <v>886</v>
      </c>
      <c r="K10" s="173">
        <v>20515</v>
      </c>
      <c r="L10" s="172">
        <v>747216</v>
      </c>
      <c r="M10" s="172">
        <v>2890</v>
      </c>
      <c r="N10" s="173">
        <v>56048</v>
      </c>
      <c r="O10" s="172">
        <v>1212376</v>
      </c>
      <c r="P10" s="172">
        <v>57378</v>
      </c>
      <c r="Q10" s="173">
        <v>265359</v>
      </c>
      <c r="R10" s="174">
        <v>41</v>
      </c>
      <c r="S10" s="174">
        <v>46869</v>
      </c>
      <c r="T10" s="174">
        <v>36358</v>
      </c>
      <c r="U10" s="175">
        <v>84649</v>
      </c>
      <c r="V10" s="175">
        <v>17261</v>
      </c>
      <c r="W10" s="174">
        <v>196549</v>
      </c>
      <c r="X10" s="175">
        <v>330580</v>
      </c>
      <c r="Y10" s="175">
        <v>924</v>
      </c>
      <c r="Z10" s="174">
        <v>27623</v>
      </c>
      <c r="AA10" s="175">
        <v>767005</v>
      </c>
      <c r="AB10" s="175">
        <v>2973</v>
      </c>
      <c r="AC10" s="174">
        <v>56488</v>
      </c>
      <c r="AD10" s="175">
        <v>1182275</v>
      </c>
      <c r="AE10" s="175">
        <v>68027</v>
      </c>
      <c r="AF10" s="174">
        <v>317018</v>
      </c>
      <c r="AG10" s="176">
        <v>142</v>
      </c>
      <c r="AH10" s="176">
        <v>79670</v>
      </c>
      <c r="AI10" s="176">
        <v>47041</v>
      </c>
      <c r="AJ10" s="176">
        <v>99502</v>
      </c>
      <c r="AK10" s="176">
        <v>19706</v>
      </c>
      <c r="AL10" s="176">
        <v>270817</v>
      </c>
      <c r="AM10" s="176">
        <v>304349</v>
      </c>
      <c r="AN10" s="176">
        <v>1440</v>
      </c>
      <c r="AO10" s="176">
        <v>31243</v>
      </c>
      <c r="AP10" s="176">
        <v>789670</v>
      </c>
      <c r="AQ10" s="176">
        <v>2686</v>
      </c>
      <c r="AR10" s="176">
        <v>62473</v>
      </c>
      <c r="AS10" s="176">
        <v>1193663</v>
      </c>
      <c r="AT10" s="176">
        <v>103502</v>
      </c>
      <c r="AU10" s="176">
        <v>411574</v>
      </c>
      <c r="AV10" s="176">
        <v>49</v>
      </c>
      <c r="AW10" s="176">
        <v>105722</v>
      </c>
      <c r="AX10" s="176">
        <v>75724</v>
      </c>
      <c r="AY10" s="176">
        <v>106525</v>
      </c>
      <c r="AZ10" s="176">
        <v>19754</v>
      </c>
      <c r="BA10" s="176">
        <v>343032</v>
      </c>
      <c r="BB10" s="176">
        <v>307744</v>
      </c>
      <c r="BC10" s="176">
        <v>1224</v>
      </c>
      <c r="BD10" s="176">
        <v>34020</v>
      </c>
      <c r="BE10" s="176">
        <v>746114</v>
      </c>
      <c r="BF10" s="176">
        <v>2898</v>
      </c>
      <c r="BG10" s="176">
        <v>70578</v>
      </c>
      <c r="BH10" s="176">
        <v>1160432</v>
      </c>
      <c r="BI10" s="176">
        <v>129598</v>
      </c>
      <c r="BJ10" s="176">
        <v>523354</v>
      </c>
      <c r="BK10" s="177">
        <v>11</v>
      </c>
      <c r="BL10" s="177">
        <v>99455</v>
      </c>
      <c r="BM10" s="177">
        <v>77312</v>
      </c>
      <c r="BN10" s="177">
        <v>147874</v>
      </c>
      <c r="BO10" s="177">
        <v>34724</v>
      </c>
      <c r="BP10" s="177">
        <v>376102</v>
      </c>
      <c r="BQ10" s="177">
        <v>322755</v>
      </c>
      <c r="BR10" s="177">
        <v>1222</v>
      </c>
      <c r="BS10" s="177">
        <v>37945</v>
      </c>
      <c r="BT10" s="177">
        <v>760125</v>
      </c>
      <c r="BU10" s="177">
        <v>2423</v>
      </c>
      <c r="BV10" s="177">
        <v>69239</v>
      </c>
      <c r="BW10" s="177">
        <v>1230765</v>
      </c>
      <c r="BX10" s="177">
        <v>137824</v>
      </c>
      <c r="BY10" s="177">
        <v>560598</v>
      </c>
      <c r="BZ10" s="178">
        <v>14</v>
      </c>
      <c r="CA10" s="178">
        <v>41267.733700000004</v>
      </c>
      <c r="CB10" s="178">
        <v>86202.192849999992</v>
      </c>
      <c r="CC10" s="178">
        <v>139798</v>
      </c>
      <c r="CD10" s="178">
        <v>10621.623</v>
      </c>
      <c r="CE10" s="178">
        <v>343786.85638339998</v>
      </c>
      <c r="CF10" s="178">
        <v>319276</v>
      </c>
      <c r="CG10" s="178">
        <v>1102.4590000000001</v>
      </c>
      <c r="CH10" s="178">
        <v>39727.771290999997</v>
      </c>
      <c r="CI10" s="178">
        <v>722979</v>
      </c>
      <c r="CJ10" s="178">
        <v>1475.845</v>
      </c>
      <c r="CK10" s="178">
        <v>66022.213534400013</v>
      </c>
      <c r="CL10" s="178">
        <v>1182067</v>
      </c>
      <c r="CM10" s="178">
        <v>54467.660700000008</v>
      </c>
      <c r="CN10" s="178">
        <v>535739.03405879997</v>
      </c>
      <c r="CO10" s="175">
        <v>15</v>
      </c>
      <c r="CP10" s="175">
        <v>40669.823700000001</v>
      </c>
      <c r="CQ10" s="175">
        <v>63080.103810000001</v>
      </c>
      <c r="CR10" s="175">
        <v>119962</v>
      </c>
      <c r="CS10" s="175">
        <v>9699.3080000000009</v>
      </c>
      <c r="CT10" s="175">
        <v>348178.68399049994</v>
      </c>
      <c r="CU10" s="175">
        <v>331133</v>
      </c>
      <c r="CV10" s="175">
        <v>1128.5820000000001</v>
      </c>
      <c r="CW10" s="175">
        <v>44018.35785</v>
      </c>
      <c r="CX10" s="175">
        <v>629565</v>
      </c>
      <c r="CY10" s="175">
        <v>1242.0540000000001</v>
      </c>
      <c r="CZ10" s="175">
        <v>77700.040532900006</v>
      </c>
      <c r="DA10" s="175">
        <v>1080675</v>
      </c>
      <c r="DB10" s="175">
        <v>52739.767699999997</v>
      </c>
      <c r="DC10" s="175">
        <v>532977.18618339999</v>
      </c>
      <c r="DD10" s="175">
        <v>15</v>
      </c>
      <c r="DE10" s="175">
        <v>150612.23800000001</v>
      </c>
      <c r="DF10" s="175">
        <v>246707.41135000001</v>
      </c>
      <c r="DG10" s="175">
        <v>57597</v>
      </c>
      <c r="DH10" s="175">
        <v>8196.0820000000003</v>
      </c>
      <c r="DI10" s="175">
        <v>241226.66935139999</v>
      </c>
      <c r="DJ10" s="175">
        <v>341699</v>
      </c>
      <c r="DK10" s="175">
        <v>1146.7449999999999</v>
      </c>
      <c r="DL10" s="175">
        <v>51247.592559999997</v>
      </c>
      <c r="DM10" s="175">
        <v>718893</v>
      </c>
      <c r="DN10" s="175">
        <v>1310.183</v>
      </c>
      <c r="DO10" s="175">
        <v>84864.86855069999</v>
      </c>
      <c r="DP10" s="175">
        <v>1118204</v>
      </c>
      <c r="DQ10" s="175">
        <v>161265.24799999999</v>
      </c>
      <c r="DR10" s="175">
        <v>624046.54181209998</v>
      </c>
      <c r="DS10" s="175">
        <v>21</v>
      </c>
      <c r="DT10" s="175">
        <v>149481.66800000001</v>
      </c>
      <c r="DU10" s="175">
        <v>210542.73625999998</v>
      </c>
      <c r="DV10" s="175">
        <v>52118</v>
      </c>
      <c r="DW10" s="175">
        <v>8111.99</v>
      </c>
      <c r="DX10" s="175">
        <v>282305.02768379997</v>
      </c>
      <c r="DY10" s="175">
        <v>319739</v>
      </c>
      <c r="DZ10" s="175">
        <v>1065.6389999999999</v>
      </c>
      <c r="EA10" s="175">
        <v>56060.526420000002</v>
      </c>
      <c r="EB10" s="175">
        <v>623366</v>
      </c>
      <c r="EC10" s="175">
        <v>1133.403</v>
      </c>
      <c r="ED10" s="175">
        <v>82816.236510000002</v>
      </c>
      <c r="EE10" s="175">
        <v>995244</v>
      </c>
      <c r="EF10" s="175">
        <v>159792.70000000001</v>
      </c>
      <c r="EG10" s="175">
        <v>631724.52687379997</v>
      </c>
    </row>
    <row r="11" spans="1:137" s="134" customFormat="1" x14ac:dyDescent="0.2">
      <c r="A11" s="179"/>
      <c r="B11" s="180" t="s">
        <v>33</v>
      </c>
      <c r="C11" s="181">
        <v>31763</v>
      </c>
      <c r="D11" s="181">
        <v>106632.792</v>
      </c>
      <c r="E11" s="182">
        <v>126081.84434</v>
      </c>
      <c r="F11" s="181">
        <v>156841</v>
      </c>
      <c r="G11" s="181">
        <v>22152.429</v>
      </c>
      <c r="H11" s="182">
        <v>548530.91217999998</v>
      </c>
      <c r="I11" s="181">
        <v>1178435</v>
      </c>
      <c r="J11" s="181">
        <v>3325.2420000000002</v>
      </c>
      <c r="K11" s="182">
        <v>89213.646129999994</v>
      </c>
      <c r="L11" s="181">
        <v>4253535</v>
      </c>
      <c r="M11" s="181">
        <v>13225.794900000001</v>
      </c>
      <c r="N11" s="182">
        <v>320245.76788</v>
      </c>
      <c r="O11" s="181">
        <v>5620574</v>
      </c>
      <c r="P11" s="181">
        <v>145336.2579</v>
      </c>
      <c r="Q11" s="182">
        <v>1084072.17053</v>
      </c>
      <c r="R11" s="183">
        <f>SUM(R7:R10)</f>
        <v>29659</v>
      </c>
      <c r="S11" s="183">
        <f t="shared" ref="S11:AF11" si="0">SUM(S7:S10)</f>
        <v>158964.07699999999</v>
      </c>
      <c r="T11" s="183">
        <f t="shared" si="0"/>
        <v>179863.63720999999</v>
      </c>
      <c r="U11" s="184">
        <f t="shared" si="0"/>
        <v>272805</v>
      </c>
      <c r="V11" s="184">
        <f t="shared" si="0"/>
        <v>36570.724000000002</v>
      </c>
      <c r="W11" s="183">
        <f t="shared" si="0"/>
        <v>652103.39107600006</v>
      </c>
      <c r="X11" s="184">
        <f t="shared" si="0"/>
        <v>1867949</v>
      </c>
      <c r="Y11" s="184">
        <f t="shared" si="0"/>
        <v>5590.0129999999999</v>
      </c>
      <c r="Z11" s="183">
        <f t="shared" si="0"/>
        <v>158680.13361999998</v>
      </c>
      <c r="AA11" s="184">
        <f t="shared" si="0"/>
        <v>3693041</v>
      </c>
      <c r="AB11" s="184">
        <f t="shared" si="0"/>
        <v>10326.616</v>
      </c>
      <c r="AC11" s="183">
        <f t="shared" si="0"/>
        <v>297553.72776659997</v>
      </c>
      <c r="AD11" s="184">
        <f t="shared" si="0"/>
        <v>5863454</v>
      </c>
      <c r="AE11" s="184">
        <f t="shared" si="0"/>
        <v>211451.43000000002</v>
      </c>
      <c r="AF11" s="183">
        <f t="shared" si="0"/>
        <v>1288200.8896726</v>
      </c>
      <c r="AG11" s="185">
        <v>277</v>
      </c>
      <c r="AH11" s="185">
        <v>219671</v>
      </c>
      <c r="AI11" s="185">
        <v>202578</v>
      </c>
      <c r="AJ11" s="185">
        <v>347310</v>
      </c>
      <c r="AK11" s="185">
        <v>40886</v>
      </c>
      <c r="AL11" s="185">
        <v>858784</v>
      </c>
      <c r="AM11" s="185">
        <v>2126298</v>
      </c>
      <c r="AN11" s="185">
        <v>6719</v>
      </c>
      <c r="AO11" s="185">
        <v>171763</v>
      </c>
      <c r="AP11" s="185">
        <v>3604730</v>
      </c>
      <c r="AQ11" s="185">
        <v>9288</v>
      </c>
      <c r="AR11" s="185">
        <v>325940</v>
      </c>
      <c r="AS11" s="185">
        <v>6078615</v>
      </c>
      <c r="AT11" s="185">
        <v>276563</v>
      </c>
      <c r="AU11" s="185">
        <v>1559065</v>
      </c>
      <c r="AV11" s="185">
        <v>229</v>
      </c>
      <c r="AW11" s="185">
        <v>279192.51500000001</v>
      </c>
      <c r="AX11" s="185">
        <v>264477.12794999999</v>
      </c>
      <c r="AY11" s="185">
        <v>394571</v>
      </c>
      <c r="AZ11" s="185">
        <v>52178.142</v>
      </c>
      <c r="BA11" s="185">
        <v>1103503.3936999999</v>
      </c>
      <c r="BB11" s="185">
        <v>2972857</v>
      </c>
      <c r="BC11" s="185">
        <v>9399.9860000000008</v>
      </c>
      <c r="BD11" s="185">
        <v>314692.17161000002</v>
      </c>
      <c r="BE11" s="185">
        <v>2736880</v>
      </c>
      <c r="BF11" s="185">
        <v>6552.1010000000006</v>
      </c>
      <c r="BG11" s="185">
        <v>240039.68552</v>
      </c>
      <c r="BH11" s="185">
        <v>6104537</v>
      </c>
      <c r="BI11" s="185">
        <v>347322.74400000001</v>
      </c>
      <c r="BJ11" s="185">
        <v>1922712.3787799999</v>
      </c>
      <c r="BK11" s="186">
        <v>236</v>
      </c>
      <c r="BL11" s="186">
        <v>298527.64</v>
      </c>
      <c r="BM11" s="186">
        <v>345918.19397999998</v>
      </c>
      <c r="BN11" s="186">
        <v>454130</v>
      </c>
      <c r="BO11" s="186">
        <v>63357.383000000002</v>
      </c>
      <c r="BP11" s="186">
        <v>1210912.048378</v>
      </c>
      <c r="BQ11" s="186">
        <v>2529115</v>
      </c>
      <c r="BR11" s="186">
        <v>7541.6</v>
      </c>
      <c r="BS11" s="186">
        <v>260402.76349300001</v>
      </c>
      <c r="BT11" s="186">
        <v>3125175</v>
      </c>
      <c r="BU11" s="186">
        <v>6880.7339999999995</v>
      </c>
      <c r="BV11" s="186">
        <v>333714.97982000001</v>
      </c>
      <c r="BW11" s="186">
        <v>6108656</v>
      </c>
      <c r="BX11" s="186">
        <v>376307.35699999996</v>
      </c>
      <c r="BY11" s="186">
        <v>2150947.9856710001</v>
      </c>
      <c r="BZ11" s="187">
        <v>150</v>
      </c>
      <c r="CA11" s="187">
        <v>268436.94569999998</v>
      </c>
      <c r="CB11" s="187">
        <v>449634.32237000001</v>
      </c>
      <c r="CC11" s="187">
        <v>426713</v>
      </c>
      <c r="CD11" s="187">
        <v>38012.801999999996</v>
      </c>
      <c r="CE11" s="187">
        <v>1278618.2011259</v>
      </c>
      <c r="CF11" s="187">
        <v>2463614</v>
      </c>
      <c r="CG11" s="187">
        <v>7724.6660000000002</v>
      </c>
      <c r="CH11" s="187">
        <v>289451.54518100002</v>
      </c>
      <c r="CI11" s="187">
        <v>2951198</v>
      </c>
      <c r="CJ11" s="187">
        <v>5907.085</v>
      </c>
      <c r="CK11" s="187">
        <v>335921.99662440002</v>
      </c>
      <c r="CL11" s="187">
        <v>5841675</v>
      </c>
      <c r="CM11" s="187">
        <v>320081.4987</v>
      </c>
      <c r="CN11" s="187">
        <v>2353626.0653013</v>
      </c>
      <c r="CO11" s="184">
        <v>152</v>
      </c>
      <c r="CP11" s="184">
        <v>283733.39970000001</v>
      </c>
      <c r="CQ11" s="184">
        <v>320617.20921999996</v>
      </c>
      <c r="CR11" s="184">
        <v>401738</v>
      </c>
      <c r="CS11" s="184">
        <v>37450.779000000002</v>
      </c>
      <c r="CT11" s="184">
        <v>1485527.8240004999</v>
      </c>
      <c r="CU11" s="184">
        <v>2241929</v>
      </c>
      <c r="CV11" s="184">
        <v>7376.4680000000008</v>
      </c>
      <c r="CW11" s="184">
        <v>301358.47022000002</v>
      </c>
      <c r="CX11" s="184">
        <v>2861875</v>
      </c>
      <c r="CY11" s="184">
        <v>5704.5730000000003</v>
      </c>
      <c r="CZ11" s="184">
        <v>355681.51367290004</v>
      </c>
      <c r="DA11" s="184">
        <v>5505694</v>
      </c>
      <c r="DB11" s="184">
        <v>334265.21969999996</v>
      </c>
      <c r="DC11" s="184">
        <v>2463185.0171133997</v>
      </c>
      <c r="DD11" s="184">
        <v>109</v>
      </c>
      <c r="DE11" s="184">
        <v>314697.54099999997</v>
      </c>
      <c r="DF11" s="184">
        <v>365045.93536</v>
      </c>
      <c r="DG11" s="184">
        <v>316378</v>
      </c>
      <c r="DH11" s="184">
        <v>41904.724000000002</v>
      </c>
      <c r="DI11" s="184">
        <v>1601121.9518113998</v>
      </c>
      <c r="DJ11" s="184">
        <v>2335444</v>
      </c>
      <c r="DK11" s="184">
        <v>7427.0860000000002</v>
      </c>
      <c r="DL11" s="184">
        <v>343054.93612000003</v>
      </c>
      <c r="DM11" s="184">
        <v>4315991</v>
      </c>
      <c r="DN11" s="184">
        <v>7897.1430000000009</v>
      </c>
      <c r="DO11" s="184">
        <v>413596.9042007</v>
      </c>
      <c r="DP11" s="184">
        <v>6967922</v>
      </c>
      <c r="DQ11" s="184">
        <v>371926.49399999995</v>
      </c>
      <c r="DR11" s="184">
        <v>2722819.7274921001</v>
      </c>
      <c r="DS11" s="184">
        <v>55</v>
      </c>
      <c r="DT11" s="184">
        <v>271530.78399999999</v>
      </c>
      <c r="DU11" s="184">
        <v>457335.75558</v>
      </c>
      <c r="DV11" s="184">
        <v>236134</v>
      </c>
      <c r="DW11" s="184">
        <v>55809.286</v>
      </c>
      <c r="DX11" s="184">
        <v>2074596.3778646002</v>
      </c>
      <c r="DY11" s="184">
        <v>2239635</v>
      </c>
      <c r="DZ11" s="184">
        <v>7217.8370000000004</v>
      </c>
      <c r="EA11" s="184">
        <v>364722.65564000001</v>
      </c>
      <c r="EB11" s="184">
        <v>2663837</v>
      </c>
      <c r="EC11" s="184">
        <v>4865.6689999999999</v>
      </c>
      <c r="ED11" s="184">
        <v>397631.185</v>
      </c>
      <c r="EE11" s="184">
        <v>5139661</v>
      </c>
      <c r="EF11" s="184">
        <v>339423.576</v>
      </c>
      <c r="EG11" s="184">
        <v>3294285.9740845999</v>
      </c>
    </row>
    <row r="12" spans="1:137" s="134" customFormat="1" x14ac:dyDescent="0.2">
      <c r="A12" s="179"/>
      <c r="B12" s="180" t="s">
        <v>34</v>
      </c>
      <c r="C12" s="181"/>
      <c r="D12" s="181"/>
      <c r="E12" s="182"/>
      <c r="F12" s="181"/>
      <c r="G12" s="181"/>
      <c r="H12" s="182"/>
      <c r="I12" s="181"/>
      <c r="J12" s="181"/>
      <c r="K12" s="182"/>
      <c r="L12" s="181"/>
      <c r="M12" s="181"/>
      <c r="N12" s="182"/>
      <c r="O12" s="181"/>
      <c r="P12" s="181"/>
      <c r="Q12" s="182"/>
      <c r="R12" s="183"/>
      <c r="S12" s="183"/>
      <c r="T12" s="183"/>
      <c r="U12" s="184"/>
      <c r="V12" s="184"/>
      <c r="W12" s="183"/>
      <c r="X12" s="184"/>
      <c r="Y12" s="184"/>
      <c r="Z12" s="183"/>
      <c r="AA12" s="184"/>
      <c r="AB12" s="184"/>
      <c r="AC12" s="183"/>
      <c r="AD12" s="184"/>
      <c r="AE12" s="184"/>
      <c r="AF12" s="183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4"/>
      <c r="CP12" s="184"/>
      <c r="CQ12" s="184"/>
      <c r="CR12" s="184"/>
      <c r="CS12" s="184"/>
      <c r="CT12" s="184"/>
      <c r="CU12" s="184"/>
      <c r="CV12" s="184"/>
      <c r="CW12" s="184"/>
      <c r="CX12" s="184"/>
      <c r="CY12" s="184"/>
      <c r="CZ12" s="184"/>
      <c r="DA12" s="184"/>
      <c r="DB12" s="184"/>
      <c r="DC12" s="184"/>
      <c r="DD12" s="184"/>
      <c r="DE12" s="184"/>
      <c r="DF12" s="184"/>
      <c r="DG12" s="184"/>
      <c r="DH12" s="184"/>
      <c r="DI12" s="184"/>
      <c r="DJ12" s="184"/>
      <c r="DK12" s="184"/>
      <c r="DL12" s="184"/>
      <c r="DM12" s="184"/>
      <c r="DN12" s="184"/>
      <c r="DO12" s="184"/>
      <c r="DP12" s="184"/>
      <c r="DQ12" s="184"/>
      <c r="DR12" s="184"/>
      <c r="DS12" s="184"/>
      <c r="DT12" s="184"/>
      <c r="DU12" s="184"/>
      <c r="DV12" s="184"/>
      <c r="DW12" s="184"/>
      <c r="DX12" s="184"/>
      <c r="DY12" s="184"/>
      <c r="DZ12" s="184"/>
      <c r="EA12" s="184"/>
      <c r="EB12" s="184"/>
      <c r="EC12" s="184"/>
      <c r="ED12" s="184"/>
      <c r="EE12" s="184"/>
      <c r="EF12" s="184"/>
      <c r="EG12" s="184"/>
    </row>
    <row r="13" spans="1:137" x14ac:dyDescent="0.2">
      <c r="A13" s="188">
        <v>5</v>
      </c>
      <c r="B13" s="188" t="s">
        <v>35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4"/>
      <c r="S13" s="174"/>
      <c r="T13" s="174"/>
      <c r="U13" s="175"/>
      <c r="V13" s="175"/>
      <c r="W13" s="174"/>
      <c r="X13" s="175"/>
      <c r="Y13" s="175"/>
      <c r="Z13" s="174"/>
      <c r="AA13" s="175"/>
      <c r="AB13" s="175"/>
      <c r="AC13" s="174"/>
      <c r="AD13" s="175"/>
      <c r="AE13" s="175"/>
      <c r="AF13" s="174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7">
        <v>0</v>
      </c>
      <c r="BL13" s="177">
        <v>0</v>
      </c>
      <c r="BM13" s="177">
        <v>0</v>
      </c>
      <c r="BN13" s="177">
        <v>0</v>
      </c>
      <c r="BO13" s="177">
        <v>0</v>
      </c>
      <c r="BP13" s="177">
        <v>0</v>
      </c>
      <c r="BQ13" s="177">
        <v>0</v>
      </c>
      <c r="BR13" s="177">
        <v>0</v>
      </c>
      <c r="BS13" s="177">
        <v>0</v>
      </c>
      <c r="BT13" s="177">
        <v>0</v>
      </c>
      <c r="BU13" s="177">
        <v>0</v>
      </c>
      <c r="BV13" s="177">
        <v>0</v>
      </c>
      <c r="BW13" s="177">
        <v>0</v>
      </c>
      <c r="BX13" s="177">
        <v>0</v>
      </c>
      <c r="BY13" s="177">
        <v>0</v>
      </c>
      <c r="BZ13" s="178">
        <v>0</v>
      </c>
      <c r="CA13" s="178">
        <v>0</v>
      </c>
      <c r="CB13" s="178">
        <v>0</v>
      </c>
      <c r="CC13" s="178">
        <v>1</v>
      </c>
      <c r="CD13" s="178">
        <v>2.64</v>
      </c>
      <c r="CE13" s="178">
        <v>202.51803200000001</v>
      </c>
      <c r="CF13" s="178">
        <v>0</v>
      </c>
      <c r="CG13" s="178">
        <v>0</v>
      </c>
      <c r="CH13" s="178">
        <v>0</v>
      </c>
      <c r="CI13" s="178">
        <v>0</v>
      </c>
      <c r="CJ13" s="178">
        <v>0</v>
      </c>
      <c r="CK13" s="178">
        <v>0</v>
      </c>
      <c r="CL13" s="178">
        <v>1</v>
      </c>
      <c r="CM13" s="178">
        <v>2.64</v>
      </c>
      <c r="CN13" s="178">
        <v>202.51803200000001</v>
      </c>
      <c r="CO13" s="175">
        <v>0</v>
      </c>
      <c r="CP13" s="175">
        <v>0</v>
      </c>
      <c r="CQ13" s="175">
        <v>0</v>
      </c>
      <c r="CR13" s="175">
        <v>16</v>
      </c>
      <c r="CS13" s="175">
        <v>1041.4359999999999</v>
      </c>
      <c r="CT13" s="175">
        <v>2335.5885608410213</v>
      </c>
      <c r="CU13" s="175">
        <v>0</v>
      </c>
      <c r="CV13" s="175">
        <v>0</v>
      </c>
      <c r="CW13" s="175">
        <v>0</v>
      </c>
      <c r="CX13" s="175">
        <v>0</v>
      </c>
      <c r="CY13" s="175">
        <v>0</v>
      </c>
      <c r="CZ13" s="175">
        <v>0</v>
      </c>
      <c r="DA13" s="175">
        <v>16</v>
      </c>
      <c r="DB13" s="175">
        <v>1041.4359999999999</v>
      </c>
      <c r="DC13" s="175">
        <v>2335.5885608410213</v>
      </c>
      <c r="DD13" s="175">
        <v>0</v>
      </c>
      <c r="DE13" s="175">
        <v>0</v>
      </c>
      <c r="DF13" s="175">
        <v>0</v>
      </c>
      <c r="DG13" s="175">
        <v>135</v>
      </c>
      <c r="DH13" s="175">
        <v>5073.3990000000003</v>
      </c>
      <c r="DI13" s="175">
        <v>10082.190475433687</v>
      </c>
      <c r="DJ13" s="175">
        <v>418</v>
      </c>
      <c r="DK13" s="175">
        <v>1.2290000000000001</v>
      </c>
      <c r="DL13" s="175">
        <v>32.165948882256565</v>
      </c>
      <c r="DM13" s="175">
        <v>378</v>
      </c>
      <c r="DN13" s="175">
        <v>0.378</v>
      </c>
      <c r="DO13" s="175">
        <v>12.472133770648512</v>
      </c>
      <c r="DP13" s="175">
        <v>931</v>
      </c>
      <c r="DQ13" s="175">
        <v>5075.0060000000003</v>
      </c>
      <c r="DR13" s="175">
        <v>10126.828558086592</v>
      </c>
      <c r="DS13" s="175">
        <v>0</v>
      </c>
      <c r="DT13" s="175">
        <v>0</v>
      </c>
      <c r="DU13" s="175">
        <v>0</v>
      </c>
      <c r="DV13" s="175">
        <v>313</v>
      </c>
      <c r="DW13" s="175">
        <v>7492.9009999999998</v>
      </c>
      <c r="DX13" s="175">
        <v>37283.800836162598</v>
      </c>
      <c r="DY13" s="175">
        <v>1623</v>
      </c>
      <c r="DZ13" s="175">
        <v>4.8520000000000003</v>
      </c>
      <c r="EA13" s="175">
        <v>143.0702699394057</v>
      </c>
      <c r="EB13" s="175">
        <v>1358</v>
      </c>
      <c r="EC13" s="175">
        <v>1.3580000000000001</v>
      </c>
      <c r="ED13" s="175">
        <v>52.232847080980434</v>
      </c>
      <c r="EE13" s="175">
        <v>3294</v>
      </c>
      <c r="EF13" s="175">
        <v>7499.1109999999999</v>
      </c>
      <c r="EG13" s="175">
        <v>37479.103953182981</v>
      </c>
    </row>
    <row r="14" spans="1:137" x14ac:dyDescent="0.2">
      <c r="A14" s="189">
        <v>6</v>
      </c>
      <c r="B14" s="189" t="s">
        <v>37</v>
      </c>
      <c r="C14" s="172"/>
      <c r="D14" s="172"/>
      <c r="E14" s="172"/>
      <c r="F14" s="172">
        <v>1836</v>
      </c>
      <c r="G14" s="172">
        <v>1120.921</v>
      </c>
      <c r="H14" s="172">
        <v>40361.580560000002</v>
      </c>
      <c r="I14" s="172">
        <v>395077</v>
      </c>
      <c r="J14" s="172">
        <v>1101.0429999999999</v>
      </c>
      <c r="K14" s="172">
        <v>24258.221863999999</v>
      </c>
      <c r="L14" s="172">
        <v>12791</v>
      </c>
      <c r="M14" s="172">
        <v>18.474</v>
      </c>
      <c r="N14" s="172">
        <v>1355.66489</v>
      </c>
      <c r="O14" s="172">
        <v>409704</v>
      </c>
      <c r="P14" s="172">
        <v>2240.4380000000001</v>
      </c>
      <c r="Q14" s="172">
        <v>65975.467313999994</v>
      </c>
      <c r="R14" s="174"/>
      <c r="S14" s="174"/>
      <c r="T14" s="174"/>
      <c r="U14" s="175">
        <v>2056</v>
      </c>
      <c r="V14" s="175">
        <v>704.72799999999995</v>
      </c>
      <c r="W14" s="174">
        <v>33212.71314</v>
      </c>
      <c r="X14" s="175">
        <v>238117</v>
      </c>
      <c r="Y14" s="175">
        <v>464.88</v>
      </c>
      <c r="Z14" s="174">
        <v>16921.054874000001</v>
      </c>
      <c r="AA14" s="175">
        <v>168693</v>
      </c>
      <c r="AB14" s="175">
        <v>471.54199999999997</v>
      </c>
      <c r="AC14" s="174">
        <v>12872.81962</v>
      </c>
      <c r="AD14" s="175">
        <v>408866</v>
      </c>
      <c r="AE14" s="175">
        <v>1641.1499999999999</v>
      </c>
      <c r="AF14" s="174">
        <v>63006.587634000003</v>
      </c>
      <c r="AG14" s="176"/>
      <c r="AH14" s="176"/>
      <c r="AI14" s="176"/>
      <c r="AJ14" s="176">
        <v>2211</v>
      </c>
      <c r="AK14" s="176">
        <v>1210</v>
      </c>
      <c r="AL14" s="176">
        <v>36882</v>
      </c>
      <c r="AM14" s="176">
        <v>170740</v>
      </c>
      <c r="AN14" s="176">
        <v>500</v>
      </c>
      <c r="AO14" s="176">
        <v>14978</v>
      </c>
      <c r="AP14" s="176">
        <v>262597</v>
      </c>
      <c r="AQ14" s="176">
        <v>457</v>
      </c>
      <c r="AR14" s="176">
        <v>20765</v>
      </c>
      <c r="AS14" s="176">
        <v>435548</v>
      </c>
      <c r="AT14" s="176">
        <v>2167</v>
      </c>
      <c r="AU14" s="176">
        <v>72625</v>
      </c>
      <c r="AV14" s="176">
        <v>2</v>
      </c>
      <c r="AW14" s="176">
        <v>7164.2969999999996</v>
      </c>
      <c r="AX14" s="176">
        <v>5610.5368099999996</v>
      </c>
      <c r="AY14" s="176">
        <v>3370</v>
      </c>
      <c r="AZ14" s="176">
        <v>1224.251</v>
      </c>
      <c r="BA14" s="176">
        <v>50588.594070000006</v>
      </c>
      <c r="BB14" s="176">
        <v>184328</v>
      </c>
      <c r="BC14" s="176">
        <v>554.01099999999997</v>
      </c>
      <c r="BD14" s="176">
        <v>18002.450570000001</v>
      </c>
      <c r="BE14" s="176">
        <v>285646</v>
      </c>
      <c r="BF14" s="176">
        <v>526.14300000000003</v>
      </c>
      <c r="BG14" s="176">
        <v>23619.403679999999</v>
      </c>
      <c r="BH14" s="176">
        <v>473346</v>
      </c>
      <c r="BI14" s="176">
        <v>9468.7019999999993</v>
      </c>
      <c r="BJ14" s="176">
        <v>97820.985130000001</v>
      </c>
      <c r="BK14" s="190">
        <v>3</v>
      </c>
      <c r="BL14" s="190">
        <v>8132.360999999999</v>
      </c>
      <c r="BM14" s="190">
        <v>5259.9071199999998</v>
      </c>
      <c r="BN14" s="190">
        <v>4497</v>
      </c>
      <c r="BO14" s="190">
        <v>2255.33</v>
      </c>
      <c r="BP14" s="190">
        <v>74371.180399999997</v>
      </c>
      <c r="BQ14" s="190">
        <v>242303</v>
      </c>
      <c r="BR14" s="190">
        <v>660.03</v>
      </c>
      <c r="BS14" s="190">
        <v>24598.940190000001</v>
      </c>
      <c r="BT14" s="190">
        <v>269375</v>
      </c>
      <c r="BU14" s="190">
        <v>466.98700000000002</v>
      </c>
      <c r="BV14" s="190">
        <v>23855.27303</v>
      </c>
      <c r="BW14" s="190">
        <v>516178</v>
      </c>
      <c r="BX14" s="190">
        <v>11514.707999999999</v>
      </c>
      <c r="BY14" s="190">
        <v>128085.30073999999</v>
      </c>
      <c r="BZ14" s="191">
        <v>42</v>
      </c>
      <c r="CA14" s="191">
        <v>19424.802</v>
      </c>
      <c r="CB14" s="191">
        <v>36889.652459999998</v>
      </c>
      <c r="CC14" s="191">
        <v>15146</v>
      </c>
      <c r="CD14" s="191">
        <v>3422.1080000000002</v>
      </c>
      <c r="CE14" s="191">
        <v>118279.30997</v>
      </c>
      <c r="CF14" s="191">
        <v>397068</v>
      </c>
      <c r="CG14" s="191">
        <v>914.399</v>
      </c>
      <c r="CH14" s="191">
        <v>51065.197659999998</v>
      </c>
      <c r="CI14" s="191">
        <v>118790</v>
      </c>
      <c r="CJ14" s="191">
        <v>923.61900000000003</v>
      </c>
      <c r="CK14" s="191">
        <v>14262.16079</v>
      </c>
      <c r="CL14" s="191">
        <v>531046</v>
      </c>
      <c r="CM14" s="191">
        <v>24684.928</v>
      </c>
      <c r="CN14" s="191">
        <v>220496.32088000001</v>
      </c>
      <c r="CO14" s="190">
        <v>76</v>
      </c>
      <c r="CP14" s="190">
        <v>27682.360999999997</v>
      </c>
      <c r="CQ14" s="190">
        <v>29971.348620000001</v>
      </c>
      <c r="CR14" s="190">
        <v>10456</v>
      </c>
      <c r="CS14" s="190">
        <v>3652.5390000000002</v>
      </c>
      <c r="CT14" s="190">
        <v>111811.04734999999</v>
      </c>
      <c r="CU14" s="190">
        <v>440054</v>
      </c>
      <c r="CV14" s="190">
        <v>1141.5139999999999</v>
      </c>
      <c r="CW14" s="190">
        <v>58526.943059999998</v>
      </c>
      <c r="CX14" s="190">
        <v>126929</v>
      </c>
      <c r="CY14" s="190">
        <v>458.31599999999997</v>
      </c>
      <c r="CZ14" s="190">
        <v>13543.79823</v>
      </c>
      <c r="DA14" s="190">
        <v>577515</v>
      </c>
      <c r="DB14" s="190">
        <v>32934.729999999996</v>
      </c>
      <c r="DC14" s="190">
        <v>213853.13725999999</v>
      </c>
      <c r="DD14" s="190">
        <v>2</v>
      </c>
      <c r="DE14" s="190">
        <v>12010.697999999999</v>
      </c>
      <c r="DF14" s="190">
        <v>9834.2348199999979</v>
      </c>
      <c r="DG14" s="190">
        <v>158416</v>
      </c>
      <c r="DH14" s="190">
        <v>3754.268</v>
      </c>
      <c r="DI14" s="190">
        <v>106572.33717</v>
      </c>
      <c r="DJ14" s="190">
        <v>375443</v>
      </c>
      <c r="DK14" s="190">
        <v>1431.6569999999999</v>
      </c>
      <c r="DL14" s="190">
        <v>57329.902499999997</v>
      </c>
      <c r="DM14" s="190">
        <v>310706</v>
      </c>
      <c r="DN14" s="190">
        <v>988.678</v>
      </c>
      <c r="DO14" s="190">
        <v>29839.2248</v>
      </c>
      <c r="DP14" s="190">
        <v>844567</v>
      </c>
      <c r="DQ14" s="190">
        <v>18185.300999999999</v>
      </c>
      <c r="DR14" s="190">
        <v>203575.69928999999</v>
      </c>
      <c r="DS14" s="190">
        <v>3</v>
      </c>
      <c r="DT14" s="190">
        <v>18163.645999999997</v>
      </c>
      <c r="DU14" s="190">
        <v>84453.759209999989</v>
      </c>
      <c r="DV14" s="190">
        <v>87937</v>
      </c>
      <c r="DW14" s="190">
        <v>4890.6279999999997</v>
      </c>
      <c r="DX14" s="190">
        <v>142687.85268000001</v>
      </c>
      <c r="DY14" s="190">
        <v>329463</v>
      </c>
      <c r="DZ14" s="190">
        <v>867.92</v>
      </c>
      <c r="EA14" s="190">
        <v>48372.641029999999</v>
      </c>
      <c r="EB14" s="190">
        <v>250426</v>
      </c>
      <c r="EC14" s="190">
        <v>651.22400000000005</v>
      </c>
      <c r="ED14" s="190">
        <v>35341.352079999997</v>
      </c>
      <c r="EE14" s="190">
        <v>667829</v>
      </c>
      <c r="EF14" s="190">
        <v>24573.417999999998</v>
      </c>
      <c r="EG14" s="190">
        <v>310855.60499999998</v>
      </c>
    </row>
    <row r="15" spans="1:137" x14ac:dyDescent="0.2">
      <c r="A15" s="188">
        <v>7</v>
      </c>
      <c r="B15" s="189" t="s">
        <v>38</v>
      </c>
      <c r="C15" s="172"/>
      <c r="D15" s="172"/>
      <c r="E15" s="172"/>
      <c r="F15" s="172">
        <v>2641</v>
      </c>
      <c r="G15" s="172">
        <v>652.98900000000003</v>
      </c>
      <c r="H15" s="172">
        <v>18491.019564499707</v>
      </c>
      <c r="I15" s="172">
        <v>17995</v>
      </c>
      <c r="J15" s="172">
        <v>27.796999999999997</v>
      </c>
      <c r="K15" s="172">
        <v>914.71450239999638</v>
      </c>
      <c r="L15" s="172"/>
      <c r="M15" s="172"/>
      <c r="N15" s="172"/>
      <c r="O15" s="172">
        <v>20636</v>
      </c>
      <c r="P15" s="172">
        <v>680.78600000000006</v>
      </c>
      <c r="Q15" s="172">
        <v>19405.734066899702</v>
      </c>
      <c r="R15" s="174"/>
      <c r="S15" s="174"/>
      <c r="T15" s="174"/>
      <c r="U15" s="175">
        <v>2107</v>
      </c>
      <c r="V15" s="175">
        <v>1123.855</v>
      </c>
      <c r="W15" s="174">
        <v>15300.683576299964</v>
      </c>
      <c r="X15" s="175">
        <v>18152</v>
      </c>
      <c r="Y15" s="175">
        <v>33.713000000000001</v>
      </c>
      <c r="Z15" s="174">
        <v>820.82296090000091</v>
      </c>
      <c r="AA15" s="175"/>
      <c r="AB15" s="175"/>
      <c r="AC15" s="174"/>
      <c r="AD15" s="175">
        <v>20259</v>
      </c>
      <c r="AE15" s="175">
        <v>1157.568</v>
      </c>
      <c r="AF15" s="174">
        <v>16121.506537199964</v>
      </c>
      <c r="AG15" s="176"/>
      <c r="AH15" s="176"/>
      <c r="AI15" s="176"/>
      <c r="AJ15" s="176">
        <v>1474</v>
      </c>
      <c r="AK15" s="176">
        <v>282</v>
      </c>
      <c r="AL15" s="176">
        <v>7394</v>
      </c>
      <c r="AM15" s="176"/>
      <c r="AN15" s="176"/>
      <c r="AO15" s="176"/>
      <c r="AP15" s="176">
        <v>19528</v>
      </c>
      <c r="AQ15" s="176">
        <v>36</v>
      </c>
      <c r="AR15" s="176">
        <v>924</v>
      </c>
      <c r="AS15" s="176">
        <v>21002</v>
      </c>
      <c r="AT15" s="176">
        <v>318</v>
      </c>
      <c r="AU15" s="176">
        <v>8319</v>
      </c>
      <c r="AV15" s="176"/>
      <c r="AW15" s="176"/>
      <c r="AX15" s="176"/>
      <c r="AY15" s="176">
        <v>1211</v>
      </c>
      <c r="AZ15" s="176">
        <v>285.649</v>
      </c>
      <c r="BA15" s="176">
        <v>5800.8532424999903</v>
      </c>
      <c r="BB15" s="176">
        <v>7370</v>
      </c>
      <c r="BC15" s="176">
        <v>24.193000000000001</v>
      </c>
      <c r="BD15" s="176">
        <v>500.51752580000101</v>
      </c>
      <c r="BE15" s="176">
        <v>13111</v>
      </c>
      <c r="BF15" s="176">
        <v>13.111000000000001</v>
      </c>
      <c r="BG15" s="176">
        <v>416.11537260000301</v>
      </c>
      <c r="BH15" s="176">
        <v>21692</v>
      </c>
      <c r="BI15" s="176">
        <v>322.95299999999997</v>
      </c>
      <c r="BJ15" s="176">
        <v>6717.4861408999941</v>
      </c>
      <c r="BK15" s="177">
        <v>0</v>
      </c>
      <c r="BL15" s="177">
        <v>0</v>
      </c>
      <c r="BM15" s="177">
        <v>0</v>
      </c>
      <c r="BN15" s="190">
        <v>1919</v>
      </c>
      <c r="BO15" s="190">
        <v>350</v>
      </c>
      <c r="BP15" s="190">
        <v>8581.541704700001</v>
      </c>
      <c r="BQ15" s="190">
        <v>9496</v>
      </c>
      <c r="BR15" s="190">
        <v>24.135200000000001</v>
      </c>
      <c r="BS15" s="190">
        <v>566.35995529999991</v>
      </c>
      <c r="BT15" s="190">
        <v>9438</v>
      </c>
      <c r="BU15" s="190">
        <v>10.966799999999999</v>
      </c>
      <c r="BV15" s="190">
        <v>318.00341390000079</v>
      </c>
      <c r="BW15" s="190">
        <v>20853</v>
      </c>
      <c r="BX15" s="190">
        <v>385.10199999999998</v>
      </c>
      <c r="BY15" s="190">
        <v>9465.9050739000013</v>
      </c>
      <c r="BZ15" s="192">
        <v>0</v>
      </c>
      <c r="CA15" s="192">
        <v>0</v>
      </c>
      <c r="CB15" s="192">
        <v>0</v>
      </c>
      <c r="CC15" s="192">
        <v>4675</v>
      </c>
      <c r="CD15" s="192">
        <v>1708.1189999999999</v>
      </c>
      <c r="CE15" s="192">
        <v>21622.810105489367</v>
      </c>
      <c r="CF15" s="192">
        <v>17154</v>
      </c>
      <c r="CG15" s="192">
        <v>31.803999999999998</v>
      </c>
      <c r="CH15" s="192">
        <v>1270.1250264000012</v>
      </c>
      <c r="CI15" s="192">
        <v>0</v>
      </c>
      <c r="CJ15" s="192">
        <v>0</v>
      </c>
      <c r="CK15" s="192">
        <v>0</v>
      </c>
      <c r="CL15" s="192">
        <v>21829</v>
      </c>
      <c r="CM15" s="192">
        <v>1739.923</v>
      </c>
      <c r="CN15" s="192">
        <v>22892.935131889368</v>
      </c>
      <c r="CO15" s="193">
        <v>0</v>
      </c>
      <c r="CP15" s="193">
        <v>0</v>
      </c>
      <c r="CQ15" s="193">
        <v>0</v>
      </c>
      <c r="CR15" s="193">
        <v>5961</v>
      </c>
      <c r="CS15" s="193">
        <v>2455.547</v>
      </c>
      <c r="CT15" s="193">
        <v>24858.540089200505</v>
      </c>
      <c r="CU15" s="193">
        <v>17464</v>
      </c>
      <c r="CV15" s="193">
        <v>35.557000000000002</v>
      </c>
      <c r="CW15" s="193">
        <v>1835.1915673999902</v>
      </c>
      <c r="CX15" s="193">
        <v>0</v>
      </c>
      <c r="CY15" s="193">
        <v>0</v>
      </c>
      <c r="CZ15" s="193">
        <v>0</v>
      </c>
      <c r="DA15" s="193">
        <v>23425</v>
      </c>
      <c r="DB15" s="193">
        <v>2491.1039999999998</v>
      </c>
      <c r="DC15" s="193">
        <v>26693.731656600496</v>
      </c>
      <c r="DD15" s="193">
        <v>0</v>
      </c>
      <c r="DE15" s="193">
        <v>0</v>
      </c>
      <c r="DF15" s="193">
        <v>0</v>
      </c>
      <c r="DG15" s="193">
        <v>9973</v>
      </c>
      <c r="DH15" s="193">
        <v>3029.1559999999999</v>
      </c>
      <c r="DI15" s="193">
        <v>37221.85280850096</v>
      </c>
      <c r="DJ15" s="193">
        <v>19518</v>
      </c>
      <c r="DK15" s="193">
        <v>38.988</v>
      </c>
      <c r="DL15" s="193">
        <v>2125.5064180000008</v>
      </c>
      <c r="DM15" s="193">
        <v>143</v>
      </c>
      <c r="DN15" s="193">
        <v>0.155</v>
      </c>
      <c r="DO15" s="193">
        <v>25.036308899999998</v>
      </c>
      <c r="DP15" s="193">
        <v>29634</v>
      </c>
      <c r="DQ15" s="193">
        <v>3068.299</v>
      </c>
      <c r="DR15" s="193">
        <v>39372.395535400967</v>
      </c>
      <c r="DS15" s="193"/>
      <c r="DT15" s="193"/>
      <c r="DU15" s="193"/>
      <c r="DV15" s="193"/>
      <c r="DW15" s="193"/>
      <c r="DX15" s="193"/>
      <c r="DY15" s="193"/>
      <c r="DZ15" s="193"/>
      <c r="EA15" s="193"/>
      <c r="EB15" s="193"/>
      <c r="EC15" s="193"/>
      <c r="ED15" s="193"/>
      <c r="EE15" s="193"/>
      <c r="EF15" s="193"/>
      <c r="EG15" s="193"/>
    </row>
    <row r="16" spans="1:137" x14ac:dyDescent="0.2">
      <c r="A16" s="189">
        <v>8</v>
      </c>
      <c r="B16" s="189" t="s">
        <v>39</v>
      </c>
      <c r="C16" s="172">
        <v>3</v>
      </c>
      <c r="D16" s="172">
        <v>1561.7199794685998</v>
      </c>
      <c r="E16" s="172">
        <v>8586.192039333333</v>
      </c>
      <c r="F16" s="172">
        <v>5483</v>
      </c>
      <c r="G16" s="172">
        <v>664.77499999999998</v>
      </c>
      <c r="H16" s="172">
        <v>7681.0035600000001</v>
      </c>
      <c r="I16" s="172">
        <v>46870</v>
      </c>
      <c r="J16" s="172">
        <v>119.301</v>
      </c>
      <c r="K16" s="172">
        <v>1799.3075699999999</v>
      </c>
      <c r="L16" s="172">
        <v>39692</v>
      </c>
      <c r="M16" s="172">
        <v>56.323999999999998</v>
      </c>
      <c r="N16" s="172">
        <v>1337.3858</v>
      </c>
      <c r="O16" s="172">
        <v>92048</v>
      </c>
      <c r="P16" s="172">
        <v>2402.1199794685999</v>
      </c>
      <c r="Q16" s="172">
        <v>19403.888969333333</v>
      </c>
      <c r="R16" s="174">
        <v>9</v>
      </c>
      <c r="S16" s="174">
        <v>1873.6389999999999</v>
      </c>
      <c r="T16" s="174">
        <v>3179.6359000000002</v>
      </c>
      <c r="U16" s="175">
        <v>8666</v>
      </c>
      <c r="V16" s="175">
        <v>1011.809</v>
      </c>
      <c r="W16" s="174">
        <v>10533.630300999999</v>
      </c>
      <c r="X16" s="175">
        <v>52811</v>
      </c>
      <c r="Y16" s="175">
        <v>146.99199999999999</v>
      </c>
      <c r="Z16" s="174">
        <v>2279.0993376000001</v>
      </c>
      <c r="AA16" s="175">
        <v>29937</v>
      </c>
      <c r="AB16" s="175">
        <v>46.158000000000001</v>
      </c>
      <c r="AC16" s="174">
        <v>1293.5916099999999</v>
      </c>
      <c r="AD16" s="175">
        <v>91423</v>
      </c>
      <c r="AE16" s="175">
        <v>3078.598</v>
      </c>
      <c r="AF16" s="174">
        <v>17285.957148599999</v>
      </c>
      <c r="AG16" s="176">
        <v>9</v>
      </c>
      <c r="AH16" s="176">
        <v>1874</v>
      </c>
      <c r="AI16" s="176">
        <v>1141</v>
      </c>
      <c r="AJ16" s="176">
        <v>11332</v>
      </c>
      <c r="AK16" s="176">
        <v>1447</v>
      </c>
      <c r="AL16" s="176">
        <v>15519</v>
      </c>
      <c r="AM16" s="176">
        <v>40043</v>
      </c>
      <c r="AN16" s="176">
        <v>136</v>
      </c>
      <c r="AO16" s="176">
        <v>2099</v>
      </c>
      <c r="AP16" s="176">
        <v>26723</v>
      </c>
      <c r="AQ16" s="176">
        <v>37</v>
      </c>
      <c r="AR16" s="176">
        <v>1477</v>
      </c>
      <c r="AS16" s="176">
        <v>78107</v>
      </c>
      <c r="AT16" s="176">
        <v>3494</v>
      </c>
      <c r="AU16" s="176">
        <v>20236</v>
      </c>
      <c r="AV16" s="176"/>
      <c r="AW16" s="176"/>
      <c r="AX16" s="176"/>
      <c r="AY16" s="176">
        <v>16442</v>
      </c>
      <c r="AZ16" s="176">
        <v>1378.4359999999999</v>
      </c>
      <c r="BA16" s="176">
        <v>16635.155772999999</v>
      </c>
      <c r="BB16" s="176">
        <v>39602</v>
      </c>
      <c r="BC16" s="176">
        <v>124.289</v>
      </c>
      <c r="BD16" s="176">
        <v>2175.8174300000001</v>
      </c>
      <c r="BE16" s="176">
        <v>19145</v>
      </c>
      <c r="BF16" s="176">
        <v>28.742999999999999</v>
      </c>
      <c r="BG16" s="176">
        <v>1290.2114799999999</v>
      </c>
      <c r="BH16" s="176">
        <v>75189</v>
      </c>
      <c r="BI16" s="176">
        <v>1531.4679999999998</v>
      </c>
      <c r="BJ16" s="176">
        <v>20101.184682999999</v>
      </c>
      <c r="BK16" s="177">
        <v>0</v>
      </c>
      <c r="BL16" s="177">
        <v>0</v>
      </c>
      <c r="BM16" s="177">
        <v>0</v>
      </c>
      <c r="BN16" s="177">
        <v>34795</v>
      </c>
      <c r="BO16" s="177">
        <v>1700.808</v>
      </c>
      <c r="BP16" s="177">
        <v>22621.826143000002</v>
      </c>
      <c r="BQ16" s="177">
        <v>40114</v>
      </c>
      <c r="BR16" s="177">
        <v>128.584</v>
      </c>
      <c r="BS16" s="177">
        <v>2184.4338200000002</v>
      </c>
      <c r="BT16" s="177">
        <v>16644</v>
      </c>
      <c r="BU16" s="177">
        <v>25.49</v>
      </c>
      <c r="BV16" s="177">
        <v>1195.25875</v>
      </c>
      <c r="BW16" s="177">
        <v>91553</v>
      </c>
      <c r="BX16" s="177">
        <v>1854.8820000000001</v>
      </c>
      <c r="BY16" s="177">
        <v>26001.518713000005</v>
      </c>
      <c r="BZ16" s="178">
        <v>0</v>
      </c>
      <c r="CA16" s="178">
        <v>0</v>
      </c>
      <c r="CB16" s="178">
        <v>0</v>
      </c>
      <c r="CC16" s="178">
        <v>50887</v>
      </c>
      <c r="CD16" s="178">
        <v>1662.354</v>
      </c>
      <c r="CE16" s="178">
        <v>24123.266304000001</v>
      </c>
      <c r="CF16" s="178">
        <v>37531</v>
      </c>
      <c r="CG16" s="178">
        <v>120.753</v>
      </c>
      <c r="CH16" s="178">
        <v>2115.2370999999998</v>
      </c>
      <c r="CI16" s="178">
        <v>14814</v>
      </c>
      <c r="CJ16" s="178">
        <v>22.545999999999999</v>
      </c>
      <c r="CK16" s="178">
        <v>1132.31465</v>
      </c>
      <c r="CL16" s="178">
        <v>103232</v>
      </c>
      <c r="CM16" s="178">
        <v>1805.653</v>
      </c>
      <c r="CN16" s="178">
        <v>27370.818053999999</v>
      </c>
      <c r="CO16" s="175">
        <v>0</v>
      </c>
      <c r="CP16" s="175">
        <v>0</v>
      </c>
      <c r="CQ16" s="175">
        <v>-560.39850000000001</v>
      </c>
      <c r="CR16" s="175">
        <v>76152</v>
      </c>
      <c r="CS16" s="175">
        <v>1978.9760000000001</v>
      </c>
      <c r="CT16" s="175">
        <v>28613.530416700029</v>
      </c>
      <c r="CU16" s="175">
        <v>28816</v>
      </c>
      <c r="CV16" s="175">
        <v>87.338999999999999</v>
      </c>
      <c r="CW16" s="175">
        <v>2080.4466400000001</v>
      </c>
      <c r="CX16" s="175">
        <v>19268</v>
      </c>
      <c r="CY16" s="175">
        <v>45.595999999999997</v>
      </c>
      <c r="CZ16" s="175">
        <v>1565.0917099999999</v>
      </c>
      <c r="DA16" s="175">
        <v>124236</v>
      </c>
      <c r="DB16" s="175">
        <v>2111.9110000000001</v>
      </c>
      <c r="DC16" s="175">
        <v>31698.670266700028</v>
      </c>
      <c r="DD16" s="175">
        <v>0</v>
      </c>
      <c r="DE16" s="175">
        <v>0</v>
      </c>
      <c r="DF16" s="175">
        <v>-1432.7026900000001</v>
      </c>
      <c r="DG16" s="175">
        <v>86329</v>
      </c>
      <c r="DH16" s="175">
        <v>4270.6239999999998</v>
      </c>
      <c r="DI16" s="175">
        <v>34875.971603899998</v>
      </c>
      <c r="DJ16" s="175">
        <v>53760</v>
      </c>
      <c r="DK16" s="175">
        <v>157.58099999999999</v>
      </c>
      <c r="DL16" s="175">
        <v>4440.5879500000001</v>
      </c>
      <c r="DM16" s="175">
        <v>110568</v>
      </c>
      <c r="DN16" s="175">
        <v>138.13999999999999</v>
      </c>
      <c r="DO16" s="175">
        <v>3552.7297400000002</v>
      </c>
      <c r="DP16" s="175">
        <v>250657</v>
      </c>
      <c r="DQ16" s="175">
        <v>4566.3450000000003</v>
      </c>
      <c r="DR16" s="175">
        <v>41436.586603900003</v>
      </c>
      <c r="DS16" s="175">
        <v>0</v>
      </c>
      <c r="DT16" s="175">
        <v>0</v>
      </c>
      <c r="DU16" s="175">
        <v>-389.25</v>
      </c>
      <c r="DV16" s="175">
        <v>256293</v>
      </c>
      <c r="DW16" s="175">
        <v>3155.6289999999999</v>
      </c>
      <c r="DX16" s="175">
        <v>33482.4258961991</v>
      </c>
      <c r="DY16" s="175">
        <v>67598</v>
      </c>
      <c r="DZ16" s="175">
        <v>212.06299999999999</v>
      </c>
      <c r="EA16" s="175">
        <v>6867.2769900000003</v>
      </c>
      <c r="EB16" s="175">
        <v>48106</v>
      </c>
      <c r="EC16" s="175">
        <v>52.027999999999999</v>
      </c>
      <c r="ED16" s="175">
        <v>2985.524656</v>
      </c>
      <c r="EE16" s="175">
        <v>371997</v>
      </c>
      <c r="EF16" s="175">
        <v>3419.72</v>
      </c>
      <c r="EG16" s="175">
        <v>42945.9775421991</v>
      </c>
    </row>
    <row r="17" spans="1:137" x14ac:dyDescent="0.2">
      <c r="A17" s="188">
        <v>9</v>
      </c>
      <c r="B17" s="189" t="s">
        <v>40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4"/>
      <c r="S17" s="174"/>
      <c r="T17" s="174"/>
      <c r="U17" s="175"/>
      <c r="V17" s="175"/>
      <c r="W17" s="174"/>
      <c r="X17" s="175"/>
      <c r="Y17" s="175"/>
      <c r="Z17" s="174"/>
      <c r="AA17" s="175"/>
      <c r="AB17" s="175"/>
      <c r="AC17" s="174"/>
      <c r="AD17" s="175"/>
      <c r="AE17" s="175"/>
      <c r="AF17" s="174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7">
        <v>0</v>
      </c>
      <c r="BL17" s="177">
        <v>0</v>
      </c>
      <c r="BM17" s="177">
        <v>0</v>
      </c>
      <c r="BN17" s="177">
        <v>352</v>
      </c>
      <c r="BO17" s="177">
        <v>0.35</v>
      </c>
      <c r="BP17" s="177">
        <v>117.88824259999987</v>
      </c>
      <c r="BQ17" s="177">
        <v>0</v>
      </c>
      <c r="BR17" s="177">
        <v>0</v>
      </c>
      <c r="BS17" s="177">
        <v>0</v>
      </c>
      <c r="BT17" s="177">
        <v>0</v>
      </c>
      <c r="BU17" s="177">
        <v>0</v>
      </c>
      <c r="BV17" s="177">
        <v>0</v>
      </c>
      <c r="BW17" s="177">
        <v>352</v>
      </c>
      <c r="BX17" s="177">
        <v>0.35</v>
      </c>
      <c r="BY17" s="177">
        <v>117.88824259999987</v>
      </c>
      <c r="BZ17" s="178">
        <v>0</v>
      </c>
      <c r="CA17" s="178">
        <v>0</v>
      </c>
      <c r="CB17" s="178">
        <v>0</v>
      </c>
      <c r="CC17" s="178">
        <v>9021</v>
      </c>
      <c r="CD17" s="178">
        <v>8.6389999999999993</v>
      </c>
      <c r="CE17" s="178">
        <v>2723.7011508000046</v>
      </c>
      <c r="CF17" s="178">
        <v>552</v>
      </c>
      <c r="CG17" s="178">
        <v>1.4710000000000001</v>
      </c>
      <c r="CH17" s="178">
        <v>71.293323300000011</v>
      </c>
      <c r="CI17" s="178">
        <v>876</v>
      </c>
      <c r="CJ17" s="178">
        <v>0.81299999999999994</v>
      </c>
      <c r="CK17" s="178">
        <v>55.336358499999989</v>
      </c>
      <c r="CL17" s="178">
        <v>10449</v>
      </c>
      <c r="CM17" s="178">
        <v>10.923</v>
      </c>
      <c r="CN17" s="178">
        <v>2850.3308326000047</v>
      </c>
      <c r="CO17" s="175">
        <v>0</v>
      </c>
      <c r="CP17" s="175">
        <v>0</v>
      </c>
      <c r="CQ17" s="175">
        <v>0</v>
      </c>
      <c r="CR17" s="175">
        <v>106</v>
      </c>
      <c r="CS17" s="175">
        <v>111.295</v>
      </c>
      <c r="CT17" s="175">
        <v>3902.3660877722959</v>
      </c>
      <c r="CU17" s="175">
        <v>2717</v>
      </c>
      <c r="CV17" s="175">
        <v>7.7309999999999999</v>
      </c>
      <c r="CW17" s="175">
        <v>322.7457091</v>
      </c>
      <c r="CX17" s="175">
        <v>4602</v>
      </c>
      <c r="CY17" s="175">
        <v>4.3079999999999998</v>
      </c>
      <c r="CZ17" s="175">
        <v>281.19998090000001</v>
      </c>
      <c r="DA17" s="175">
        <v>7425</v>
      </c>
      <c r="DB17" s="175">
        <v>123.334</v>
      </c>
      <c r="DC17" s="175">
        <v>4506.3117777722955</v>
      </c>
      <c r="DD17" s="175">
        <v>0</v>
      </c>
      <c r="DE17" s="175">
        <v>0</v>
      </c>
      <c r="DF17" s="175">
        <v>0</v>
      </c>
      <c r="DG17" s="175">
        <v>365</v>
      </c>
      <c r="DH17" s="175">
        <v>310.90899999999999</v>
      </c>
      <c r="DI17" s="175">
        <v>5146.248952715594</v>
      </c>
      <c r="DJ17" s="175">
        <v>10140</v>
      </c>
      <c r="DK17" s="175">
        <v>28.468</v>
      </c>
      <c r="DL17" s="175">
        <v>800.42094589999931</v>
      </c>
      <c r="DM17" s="175">
        <v>35074</v>
      </c>
      <c r="DN17" s="175">
        <v>38.381999999999998</v>
      </c>
      <c r="DO17" s="175">
        <v>902.39989489998936</v>
      </c>
      <c r="DP17" s="175">
        <v>45579</v>
      </c>
      <c r="DQ17" s="175">
        <v>377.75900000000001</v>
      </c>
      <c r="DR17" s="175">
        <v>6849.0697935155831</v>
      </c>
      <c r="DS17" s="175">
        <v>0</v>
      </c>
      <c r="DT17" s="175">
        <v>0</v>
      </c>
      <c r="DU17" s="175">
        <v>0</v>
      </c>
      <c r="DV17" s="175">
        <v>700</v>
      </c>
      <c r="DW17" s="175">
        <v>279.63799999999998</v>
      </c>
      <c r="DX17" s="175">
        <v>9073.0913876975901</v>
      </c>
      <c r="DY17" s="175">
        <v>6696</v>
      </c>
      <c r="DZ17" s="175">
        <v>19.117000000000001</v>
      </c>
      <c r="EA17" s="175">
        <v>438.42812930000065</v>
      </c>
      <c r="EB17" s="175">
        <v>11090</v>
      </c>
      <c r="EC17" s="175">
        <v>11.273999999999999</v>
      </c>
      <c r="ED17" s="175">
        <v>427.63856289999961</v>
      </c>
      <c r="EE17" s="175">
        <v>18486</v>
      </c>
      <c r="EF17" s="175">
        <v>310.029</v>
      </c>
      <c r="EG17" s="175">
        <v>9939.1580798975901</v>
      </c>
    </row>
    <row r="18" spans="1:137" x14ac:dyDescent="0.2">
      <c r="A18" s="189">
        <v>10</v>
      </c>
      <c r="B18" s="189" t="s">
        <v>41</v>
      </c>
      <c r="C18" s="172">
        <v>1</v>
      </c>
      <c r="D18" s="172">
        <v>81.046000000000006</v>
      </c>
      <c r="E18" s="172">
        <v>9.4295500000000008</v>
      </c>
      <c r="F18" s="172">
        <v>746</v>
      </c>
      <c r="G18" s="172">
        <v>375.82200000000006</v>
      </c>
      <c r="H18" s="172">
        <v>10628.151330000002</v>
      </c>
      <c r="I18" s="172">
        <v>11906</v>
      </c>
      <c r="J18" s="172">
        <v>39.698</v>
      </c>
      <c r="K18" s="172">
        <v>804.19138999999996</v>
      </c>
      <c r="L18" s="172">
        <v>13577</v>
      </c>
      <c r="M18" s="172">
        <v>21.710999999999999</v>
      </c>
      <c r="N18" s="172">
        <v>678.73197000000005</v>
      </c>
      <c r="O18" s="172">
        <v>26230</v>
      </c>
      <c r="P18" s="172">
        <v>518.27700000000004</v>
      </c>
      <c r="Q18" s="172">
        <v>12120.504240000004</v>
      </c>
      <c r="R18" s="174">
        <v>8</v>
      </c>
      <c r="S18" s="174">
        <v>1373.2429999999999</v>
      </c>
      <c r="T18" s="174">
        <v>978.75554999999997</v>
      </c>
      <c r="U18" s="175">
        <v>925</v>
      </c>
      <c r="V18" s="175">
        <v>307.16399999999999</v>
      </c>
      <c r="W18" s="174">
        <v>10486.713336599998</v>
      </c>
      <c r="X18" s="175">
        <v>14829</v>
      </c>
      <c r="Y18" s="175">
        <v>48.753999999999998</v>
      </c>
      <c r="Z18" s="174">
        <v>1040.5248469999999</v>
      </c>
      <c r="AA18" s="175">
        <v>13604</v>
      </c>
      <c r="AB18" s="175">
        <v>22.821000000000002</v>
      </c>
      <c r="AC18" s="174">
        <v>810.38385729999993</v>
      </c>
      <c r="AD18" s="175">
        <v>29366</v>
      </c>
      <c r="AE18" s="175">
        <v>1751.9819999999997</v>
      </c>
      <c r="AF18" s="174">
        <v>13316.377590899998</v>
      </c>
      <c r="AG18" s="176"/>
      <c r="AH18" s="176">
        <v>3976</v>
      </c>
      <c r="AI18" s="176">
        <v>594</v>
      </c>
      <c r="AJ18" s="176">
        <v>868</v>
      </c>
      <c r="AK18" s="176">
        <v>297</v>
      </c>
      <c r="AL18" s="176">
        <v>11231</v>
      </c>
      <c r="AM18" s="176">
        <v>16105</v>
      </c>
      <c r="AN18" s="176">
        <v>65</v>
      </c>
      <c r="AO18" s="176">
        <v>1389</v>
      </c>
      <c r="AP18" s="176">
        <v>14028</v>
      </c>
      <c r="AQ18" s="176">
        <v>27</v>
      </c>
      <c r="AR18" s="176">
        <v>954</v>
      </c>
      <c r="AS18" s="176">
        <v>31001</v>
      </c>
      <c r="AT18" s="176">
        <v>4364</v>
      </c>
      <c r="AU18" s="176">
        <v>14167</v>
      </c>
      <c r="AV18" s="176">
        <v>7</v>
      </c>
      <c r="AW18" s="176">
        <v>4759.2520000000004</v>
      </c>
      <c r="AX18" s="176">
        <v>1704.00703</v>
      </c>
      <c r="AY18" s="176">
        <v>2737</v>
      </c>
      <c r="AZ18" s="176">
        <v>664.40800000000002</v>
      </c>
      <c r="BA18" s="176">
        <v>14091.45119</v>
      </c>
      <c r="BB18" s="176">
        <v>20001</v>
      </c>
      <c r="BC18" s="176">
        <v>67.784999999999997</v>
      </c>
      <c r="BD18" s="176">
        <v>1964.5119999999999</v>
      </c>
      <c r="BE18" s="176">
        <v>18565</v>
      </c>
      <c r="BF18" s="176">
        <v>77.528000000000006</v>
      </c>
      <c r="BG18" s="176">
        <v>1500.3309999999999</v>
      </c>
      <c r="BH18" s="176">
        <v>41310</v>
      </c>
      <c r="BI18" s="176">
        <v>5568.9730000000009</v>
      </c>
      <c r="BJ18" s="176">
        <v>19260.301219999998</v>
      </c>
      <c r="BK18" s="177">
        <v>7</v>
      </c>
      <c r="BL18" s="177">
        <v>5426.15</v>
      </c>
      <c r="BM18" s="177">
        <v>580.34213999999997</v>
      </c>
      <c r="BN18" s="177">
        <v>959</v>
      </c>
      <c r="BO18" s="177">
        <v>754.05499999999995</v>
      </c>
      <c r="BP18" s="177">
        <v>18434.146550299996</v>
      </c>
      <c r="BQ18" s="177">
        <v>22269</v>
      </c>
      <c r="BR18" s="177">
        <v>64.12</v>
      </c>
      <c r="BS18" s="177">
        <v>2085.4936655866281</v>
      </c>
      <c r="BT18" s="177">
        <v>24878</v>
      </c>
      <c r="BU18" s="177">
        <v>39.808</v>
      </c>
      <c r="BV18" s="177">
        <v>2156.6065937133835</v>
      </c>
      <c r="BW18" s="177">
        <v>48113</v>
      </c>
      <c r="BX18" s="177">
        <v>6284.1329999999998</v>
      </c>
      <c r="BY18" s="177">
        <v>23256.588949600009</v>
      </c>
      <c r="BZ18" s="178">
        <v>6</v>
      </c>
      <c r="CA18" s="178">
        <v>3849.4580000000001</v>
      </c>
      <c r="CB18" s="178">
        <v>454.08832999999998</v>
      </c>
      <c r="CC18" s="178">
        <v>805</v>
      </c>
      <c r="CD18" s="178">
        <v>843.43899999999996</v>
      </c>
      <c r="CE18" s="178">
        <v>22083.251949900023</v>
      </c>
      <c r="CF18" s="178">
        <v>33829</v>
      </c>
      <c r="CG18" s="178">
        <v>102.30200000000001</v>
      </c>
      <c r="CH18" s="178">
        <v>3873.5407563400213</v>
      </c>
      <c r="CI18" s="178">
        <v>30030</v>
      </c>
      <c r="CJ18" s="178">
        <v>43.250999999999998</v>
      </c>
      <c r="CK18" s="178">
        <v>1698.3531421999696</v>
      </c>
      <c r="CL18" s="178">
        <v>64670</v>
      </c>
      <c r="CM18" s="178">
        <v>4838.45</v>
      </c>
      <c r="CN18" s="178">
        <v>28109.234178440012</v>
      </c>
      <c r="CO18" s="175">
        <v>0</v>
      </c>
      <c r="CP18" s="175">
        <v>0</v>
      </c>
      <c r="CQ18" s="175">
        <v>3.6341290000000002</v>
      </c>
      <c r="CR18" s="175">
        <v>927</v>
      </c>
      <c r="CS18" s="175">
        <v>1754.723</v>
      </c>
      <c r="CT18" s="175">
        <v>29654.258074999991</v>
      </c>
      <c r="CU18" s="175">
        <v>46937</v>
      </c>
      <c r="CV18" s="175">
        <v>148.727</v>
      </c>
      <c r="CW18" s="175">
        <v>5950.2311514000003</v>
      </c>
      <c r="CX18" s="175">
        <v>33208</v>
      </c>
      <c r="CY18" s="175">
        <v>39.722999999999999</v>
      </c>
      <c r="CZ18" s="175">
        <v>2587.8660173999201</v>
      </c>
      <c r="DA18" s="175">
        <v>81072</v>
      </c>
      <c r="DB18" s="175">
        <v>1943.173</v>
      </c>
      <c r="DC18" s="175">
        <v>38195.989372799915</v>
      </c>
      <c r="DD18" s="175">
        <v>0</v>
      </c>
      <c r="DE18" s="175">
        <v>0</v>
      </c>
      <c r="DF18" s="175">
        <v>0</v>
      </c>
      <c r="DG18" s="175">
        <v>2321</v>
      </c>
      <c r="DH18" s="175">
        <v>1988.93</v>
      </c>
      <c r="DI18" s="175">
        <v>28819.524146099982</v>
      </c>
      <c r="DJ18" s="175">
        <v>67796</v>
      </c>
      <c r="DK18" s="175">
        <v>230.02199999999999</v>
      </c>
      <c r="DL18" s="175">
        <v>8642.0758278999147</v>
      </c>
      <c r="DM18" s="175">
        <v>254121</v>
      </c>
      <c r="DN18" s="175">
        <v>370.54700000000003</v>
      </c>
      <c r="DO18" s="175">
        <v>7354.9608352995638</v>
      </c>
      <c r="DP18" s="175">
        <v>324238</v>
      </c>
      <c r="DQ18" s="175">
        <v>2589.4990000000003</v>
      </c>
      <c r="DR18" s="175">
        <v>44816.560809299459</v>
      </c>
      <c r="DS18" s="175">
        <v>0</v>
      </c>
      <c r="DT18" s="175">
        <v>0</v>
      </c>
      <c r="DU18" s="175">
        <v>0</v>
      </c>
      <c r="DV18" s="175">
        <v>1765</v>
      </c>
      <c r="DW18" s="175">
        <v>1612.7760000000001</v>
      </c>
      <c r="DX18" s="175">
        <v>42923.58904220003</v>
      </c>
      <c r="DY18" s="175">
        <v>74076</v>
      </c>
      <c r="DZ18" s="175">
        <v>251.25800000000001</v>
      </c>
      <c r="EA18" s="175">
        <v>10327.20405639986</v>
      </c>
      <c r="EB18" s="175">
        <v>43249</v>
      </c>
      <c r="EC18" s="175">
        <v>55.225000000000001</v>
      </c>
      <c r="ED18" s="175">
        <v>4130.2735192999353</v>
      </c>
      <c r="EE18" s="175">
        <v>119090</v>
      </c>
      <c r="EF18" s="175">
        <v>1919.259</v>
      </c>
      <c r="EG18" s="175">
        <v>57381.066617899822</v>
      </c>
    </row>
    <row r="19" spans="1:137" x14ac:dyDescent="0.2">
      <c r="A19" s="188">
        <v>11</v>
      </c>
      <c r="B19" s="189" t="s">
        <v>42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4"/>
      <c r="S19" s="174"/>
      <c r="T19" s="174"/>
      <c r="U19" s="175"/>
      <c r="V19" s="175"/>
      <c r="W19" s="174"/>
      <c r="X19" s="175"/>
      <c r="Y19" s="175"/>
      <c r="Z19" s="174"/>
      <c r="AA19" s="175"/>
      <c r="AB19" s="175"/>
      <c r="AC19" s="174"/>
      <c r="AD19" s="175"/>
      <c r="AE19" s="175"/>
      <c r="AF19" s="174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77">
        <v>0</v>
      </c>
      <c r="BL19" s="177">
        <v>0</v>
      </c>
      <c r="BM19" s="177">
        <v>0</v>
      </c>
      <c r="BN19" s="177">
        <v>0</v>
      </c>
      <c r="BO19" s="177">
        <v>0</v>
      </c>
      <c r="BP19" s="177">
        <v>0</v>
      </c>
      <c r="BQ19" s="177">
        <v>0</v>
      </c>
      <c r="BR19" s="177">
        <v>0</v>
      </c>
      <c r="BS19" s="177">
        <v>0</v>
      </c>
      <c r="BT19" s="177">
        <v>0</v>
      </c>
      <c r="BU19" s="177">
        <v>0</v>
      </c>
      <c r="BV19" s="177">
        <v>0</v>
      </c>
      <c r="BW19" s="177">
        <v>0</v>
      </c>
      <c r="BX19" s="177">
        <v>0</v>
      </c>
      <c r="BY19" s="177">
        <v>0</v>
      </c>
      <c r="BZ19" s="178">
        <v>0</v>
      </c>
      <c r="CA19" s="178">
        <v>0</v>
      </c>
      <c r="CB19" s="178">
        <v>0</v>
      </c>
      <c r="CC19" s="178">
        <v>865</v>
      </c>
      <c r="CD19" s="178">
        <v>0.86499999999999999</v>
      </c>
      <c r="CE19" s="178">
        <v>73.957139999999995</v>
      </c>
      <c r="CF19" s="178">
        <v>0</v>
      </c>
      <c r="CG19" s="178">
        <v>0</v>
      </c>
      <c r="CH19" s="178">
        <v>0</v>
      </c>
      <c r="CI19" s="178">
        <v>0</v>
      </c>
      <c r="CJ19" s="178">
        <v>0</v>
      </c>
      <c r="CK19" s="178">
        <v>0</v>
      </c>
      <c r="CL19" s="178">
        <v>865</v>
      </c>
      <c r="CM19" s="178">
        <v>0.86499999999999999</v>
      </c>
      <c r="CN19" s="178">
        <v>73.957139999999995</v>
      </c>
      <c r="CO19" s="175">
        <v>0</v>
      </c>
      <c r="CP19" s="175">
        <v>0</v>
      </c>
      <c r="CQ19" s="175">
        <v>0</v>
      </c>
      <c r="CR19" s="175">
        <v>271</v>
      </c>
      <c r="CS19" s="175">
        <v>32.326000000000001</v>
      </c>
      <c r="CT19" s="175">
        <v>1438.98387</v>
      </c>
      <c r="CU19" s="175">
        <v>1396</v>
      </c>
      <c r="CV19" s="175">
        <v>4.2380000000000004</v>
      </c>
      <c r="CW19" s="175">
        <v>175.98156</v>
      </c>
      <c r="CX19" s="175">
        <v>4610</v>
      </c>
      <c r="CY19" s="175">
        <v>6.0539999999999994</v>
      </c>
      <c r="CZ19" s="175">
        <v>137.1345</v>
      </c>
      <c r="DA19" s="175">
        <v>6277</v>
      </c>
      <c r="DB19" s="175">
        <v>42.618000000000002</v>
      </c>
      <c r="DC19" s="175">
        <v>1752.0999299999999</v>
      </c>
      <c r="DD19" s="175">
        <v>0</v>
      </c>
      <c r="DE19" s="175">
        <v>0</v>
      </c>
      <c r="DF19" s="175">
        <v>0</v>
      </c>
      <c r="DG19" s="175">
        <v>25210</v>
      </c>
      <c r="DH19" s="175">
        <v>2084.009</v>
      </c>
      <c r="DI19" s="175">
        <v>17094.576226099998</v>
      </c>
      <c r="DJ19" s="175">
        <v>4068</v>
      </c>
      <c r="DK19" s="175">
        <v>18.765000000000001</v>
      </c>
      <c r="DL19" s="175">
        <v>814.18024709999997</v>
      </c>
      <c r="DM19" s="175">
        <v>8258</v>
      </c>
      <c r="DN19" s="175">
        <v>8.2579999999999991</v>
      </c>
      <c r="DO19" s="175">
        <v>366.1769506</v>
      </c>
      <c r="DP19" s="175">
        <v>37536</v>
      </c>
      <c r="DQ19" s="175">
        <v>2111.0319999999997</v>
      </c>
      <c r="DR19" s="175">
        <v>18274.933423799997</v>
      </c>
      <c r="DS19" s="175">
        <v>0</v>
      </c>
      <c r="DT19" s="175">
        <v>0</v>
      </c>
      <c r="DU19" s="175">
        <v>0</v>
      </c>
      <c r="DV19" s="175">
        <v>14050</v>
      </c>
      <c r="DW19" s="175">
        <v>3005.6660000000002</v>
      </c>
      <c r="DX19" s="175">
        <v>39265.304036199996</v>
      </c>
      <c r="DY19" s="175">
        <v>14473</v>
      </c>
      <c r="DZ19" s="175">
        <v>43.722999999999999</v>
      </c>
      <c r="EA19" s="175">
        <v>1839.0190343000004</v>
      </c>
      <c r="EB19" s="175">
        <v>13682</v>
      </c>
      <c r="EC19" s="175">
        <v>13.837</v>
      </c>
      <c r="ED19" s="175">
        <v>843.70678709999981</v>
      </c>
      <c r="EE19" s="175">
        <v>42205</v>
      </c>
      <c r="EF19" s="175">
        <v>3063.2260000000001</v>
      </c>
      <c r="EG19" s="175">
        <v>41948.029857599999</v>
      </c>
    </row>
    <row r="20" spans="1:137" x14ac:dyDescent="0.2">
      <c r="A20" s="189">
        <v>12</v>
      </c>
      <c r="B20" s="194" t="s">
        <v>43</v>
      </c>
      <c r="C20" s="172">
        <v>7</v>
      </c>
      <c r="D20" s="172">
        <v>1775.568</v>
      </c>
      <c r="E20" s="172">
        <v>1376.1399100000001</v>
      </c>
      <c r="F20" s="172">
        <v>102</v>
      </c>
      <c r="G20" s="172">
        <v>105.643</v>
      </c>
      <c r="H20" s="172">
        <v>1504.3397000000002</v>
      </c>
      <c r="I20" s="172">
        <v>9047</v>
      </c>
      <c r="J20" s="172">
        <v>26.498999999999999</v>
      </c>
      <c r="K20" s="172">
        <v>831.58141879847994</v>
      </c>
      <c r="L20" s="172">
        <v>11904</v>
      </c>
      <c r="M20" s="172">
        <v>16.788</v>
      </c>
      <c r="N20" s="172">
        <v>863.16112120000275</v>
      </c>
      <c r="O20" s="172">
        <v>21060</v>
      </c>
      <c r="P20" s="172">
        <v>1924.498</v>
      </c>
      <c r="Q20" s="172">
        <v>4575.2221499984826</v>
      </c>
      <c r="R20" s="174">
        <v>8</v>
      </c>
      <c r="S20" s="174">
        <v>606.23</v>
      </c>
      <c r="T20" s="174">
        <v>384.63533710000002</v>
      </c>
      <c r="U20" s="175">
        <v>87</v>
      </c>
      <c r="V20" s="175">
        <v>41.622999999999998</v>
      </c>
      <c r="W20" s="174">
        <v>479.55818049999965</v>
      </c>
      <c r="X20" s="175">
        <v>24321</v>
      </c>
      <c r="Y20" s="175">
        <v>73</v>
      </c>
      <c r="Z20" s="174">
        <v>1931.6760889512123</v>
      </c>
      <c r="AA20" s="175">
        <v>24490</v>
      </c>
      <c r="AB20" s="175">
        <v>34.51</v>
      </c>
      <c r="AC20" s="174">
        <v>1940.2565576451464</v>
      </c>
      <c r="AD20" s="175">
        <v>48906</v>
      </c>
      <c r="AE20" s="175">
        <v>755.36300000000006</v>
      </c>
      <c r="AF20" s="174">
        <v>4736.1261641963583</v>
      </c>
      <c r="AG20" s="176">
        <v>8</v>
      </c>
      <c r="AH20" s="176">
        <v>606</v>
      </c>
      <c r="AI20" s="176">
        <v>702</v>
      </c>
      <c r="AJ20" s="176">
        <v>84</v>
      </c>
      <c r="AK20" s="176">
        <v>89</v>
      </c>
      <c r="AL20" s="176">
        <v>961</v>
      </c>
      <c r="AM20" s="176">
        <v>37294</v>
      </c>
      <c r="AN20" s="176">
        <v>113</v>
      </c>
      <c r="AO20" s="176">
        <v>2564</v>
      </c>
      <c r="AP20" s="176">
        <v>33148</v>
      </c>
      <c r="AQ20" s="176">
        <v>45</v>
      </c>
      <c r="AR20" s="176">
        <v>2329</v>
      </c>
      <c r="AS20" s="176">
        <v>70534</v>
      </c>
      <c r="AT20" s="176">
        <v>852</v>
      </c>
      <c r="AU20" s="176">
        <v>6556</v>
      </c>
      <c r="AV20" s="176">
        <v>0</v>
      </c>
      <c r="AW20" s="176">
        <v>0</v>
      </c>
      <c r="AX20" s="176">
        <v>-1.33938</v>
      </c>
      <c r="AY20" s="176">
        <v>119</v>
      </c>
      <c r="AZ20" s="176">
        <v>25.73</v>
      </c>
      <c r="BA20" s="176">
        <v>243.40034449999996</v>
      </c>
      <c r="BB20" s="176">
        <v>45787</v>
      </c>
      <c r="BC20" s="176">
        <v>286.548</v>
      </c>
      <c r="BD20" s="176">
        <v>3915.6340606549825</v>
      </c>
      <c r="BE20" s="176">
        <v>26025</v>
      </c>
      <c r="BF20" s="176">
        <v>26.318000000000001</v>
      </c>
      <c r="BG20" s="176">
        <v>1685.1844179000134</v>
      </c>
      <c r="BH20" s="176">
        <v>71931</v>
      </c>
      <c r="BI20" s="176">
        <v>338.596</v>
      </c>
      <c r="BJ20" s="176">
        <v>5842.879443054996</v>
      </c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75"/>
      <c r="EC20" s="175"/>
      <c r="ED20" s="175"/>
      <c r="EE20" s="175"/>
      <c r="EF20" s="175"/>
      <c r="EG20" s="175"/>
    </row>
    <row r="21" spans="1:137" x14ac:dyDescent="0.2">
      <c r="A21" s="195"/>
      <c r="B21" s="194" t="s">
        <v>44</v>
      </c>
      <c r="C21" s="172">
        <v>17</v>
      </c>
      <c r="D21" s="172">
        <v>1367.8430000000001</v>
      </c>
      <c r="E21" s="172">
        <v>2995.0900299999998</v>
      </c>
      <c r="F21" s="172">
        <v>906</v>
      </c>
      <c r="G21" s="172">
        <v>1608.654</v>
      </c>
      <c r="H21" s="172">
        <v>24971.9391856</v>
      </c>
      <c r="I21" s="172">
        <v>146116</v>
      </c>
      <c r="J21" s="172">
        <v>347.517</v>
      </c>
      <c r="K21" s="172">
        <v>8776.6005464385889</v>
      </c>
      <c r="L21" s="172">
        <v>269967</v>
      </c>
      <c r="M21" s="172">
        <v>227.68799999999999</v>
      </c>
      <c r="N21" s="172">
        <v>21864.491481910038</v>
      </c>
      <c r="O21" s="172">
        <v>417006</v>
      </c>
      <c r="P21" s="172">
        <v>3551.7020000000002</v>
      </c>
      <c r="Q21" s="172">
        <v>58608.121243948626</v>
      </c>
      <c r="R21" s="174"/>
      <c r="S21" s="174">
        <v>2817.7809999999999</v>
      </c>
      <c r="T21" s="174">
        <v>-99.838350000000005</v>
      </c>
      <c r="U21" s="175">
        <v>813</v>
      </c>
      <c r="V21" s="175">
        <v>381.23099999999999</v>
      </c>
      <c r="W21" s="175">
        <v>8910.0528292680028</v>
      </c>
      <c r="X21" s="175">
        <v>168157</v>
      </c>
      <c r="Y21" s="175">
        <v>412.99200000000002</v>
      </c>
      <c r="Z21" s="175">
        <v>15027.005334703003</v>
      </c>
      <c r="AA21" s="175">
        <v>273341</v>
      </c>
      <c r="AB21" s="175">
        <v>236.10300000000001</v>
      </c>
      <c r="AC21" s="175">
        <v>26498.81418160499</v>
      </c>
      <c r="AD21" s="175">
        <v>442311</v>
      </c>
      <c r="AE21" s="175">
        <v>3848.107</v>
      </c>
      <c r="AF21" s="175">
        <v>50336.033995575999</v>
      </c>
      <c r="AG21" s="176"/>
      <c r="AH21" s="176">
        <v>71</v>
      </c>
      <c r="AI21" s="176"/>
      <c r="AJ21" s="176">
        <v>1257</v>
      </c>
      <c r="AK21" s="176">
        <v>348</v>
      </c>
      <c r="AL21" s="176">
        <v>10333</v>
      </c>
      <c r="AM21" s="176">
        <v>172931</v>
      </c>
      <c r="AN21" s="176">
        <v>435</v>
      </c>
      <c r="AO21" s="176">
        <v>18179</v>
      </c>
      <c r="AP21" s="176">
        <v>282337</v>
      </c>
      <c r="AQ21" s="176">
        <v>244</v>
      </c>
      <c r="AR21" s="176">
        <v>28630</v>
      </c>
      <c r="AS21" s="176">
        <v>456525</v>
      </c>
      <c r="AT21" s="176">
        <v>1098</v>
      </c>
      <c r="AU21" s="176">
        <v>57142</v>
      </c>
      <c r="AV21" s="176"/>
      <c r="AW21" s="176"/>
      <c r="AX21" s="176"/>
      <c r="AY21" s="176">
        <v>8000</v>
      </c>
      <c r="AZ21" s="176">
        <v>1246.8989999999999</v>
      </c>
      <c r="BA21" s="176">
        <v>12896.5584179</v>
      </c>
      <c r="BB21" s="176">
        <v>303872</v>
      </c>
      <c r="BC21" s="176">
        <v>559.72400000000005</v>
      </c>
      <c r="BD21" s="176">
        <v>26853.403522799978</v>
      </c>
      <c r="BE21" s="176">
        <v>160694</v>
      </c>
      <c r="BF21" s="176">
        <v>143.30600000000001</v>
      </c>
      <c r="BG21" s="176">
        <v>29208.148780799998</v>
      </c>
      <c r="BH21" s="176">
        <v>472566</v>
      </c>
      <c r="BI21" s="176">
        <v>1949.9290000000001</v>
      </c>
      <c r="BJ21" s="176">
        <v>68958.110721499979</v>
      </c>
      <c r="BK21" s="177">
        <v>0</v>
      </c>
      <c r="BL21" s="177">
        <v>0</v>
      </c>
      <c r="BM21" s="177">
        <v>0</v>
      </c>
      <c r="BN21" s="177">
        <v>25994</v>
      </c>
      <c r="BO21" s="177">
        <v>1310.29</v>
      </c>
      <c r="BP21" s="177">
        <v>19381.462146899998</v>
      </c>
      <c r="BQ21" s="177">
        <v>396440</v>
      </c>
      <c r="BR21" s="177">
        <v>844.54899999999998</v>
      </c>
      <c r="BS21" s="177">
        <v>35541.581892900002</v>
      </c>
      <c r="BT21" s="177">
        <v>231941</v>
      </c>
      <c r="BU21" s="177">
        <v>228.20599999999999</v>
      </c>
      <c r="BV21" s="177">
        <v>42497.751828199805</v>
      </c>
      <c r="BW21" s="177">
        <v>654375</v>
      </c>
      <c r="BX21" s="177">
        <v>2383.0450000000001</v>
      </c>
      <c r="BY21" s="177">
        <v>97420.795867999812</v>
      </c>
      <c r="BZ21" s="178">
        <v>2</v>
      </c>
      <c r="CA21" s="178">
        <v>6100</v>
      </c>
      <c r="CB21" s="178">
        <v>10065</v>
      </c>
      <c r="CC21" s="178">
        <v>68770</v>
      </c>
      <c r="CD21" s="178">
        <v>1767.0550000000001</v>
      </c>
      <c r="CE21" s="178">
        <v>61480.132665200006</v>
      </c>
      <c r="CF21" s="178">
        <v>535827</v>
      </c>
      <c r="CG21" s="178">
        <v>1265.0999999999999</v>
      </c>
      <c r="CH21" s="178">
        <v>41713.594094500011</v>
      </c>
      <c r="CI21" s="178">
        <v>461796</v>
      </c>
      <c r="CJ21" s="178">
        <v>473.29</v>
      </c>
      <c r="CK21" s="178">
        <v>12164.051223299999</v>
      </c>
      <c r="CL21" s="178">
        <v>1066395</v>
      </c>
      <c r="CM21" s="178">
        <v>9605.4450000000015</v>
      </c>
      <c r="CN21" s="178">
        <v>125422.77798300002</v>
      </c>
      <c r="CO21" s="175">
        <v>1</v>
      </c>
      <c r="CP21" s="175">
        <v>6100</v>
      </c>
      <c r="CQ21" s="175">
        <v>1677.4999995000101</v>
      </c>
      <c r="CR21" s="175">
        <v>212553</v>
      </c>
      <c r="CS21" s="175">
        <v>3719.7280000000001</v>
      </c>
      <c r="CT21" s="175">
        <v>62148.422138400005</v>
      </c>
      <c r="CU21" s="175">
        <v>526346</v>
      </c>
      <c r="CV21" s="175">
        <v>1559.4259999999999</v>
      </c>
      <c r="CW21" s="175">
        <v>48590.151451599988</v>
      </c>
      <c r="CX21" s="175">
        <v>248690</v>
      </c>
      <c r="CY21" s="175">
        <v>374.17399999999998</v>
      </c>
      <c r="CZ21" s="175">
        <v>14040.828167899999</v>
      </c>
      <c r="DA21" s="175">
        <v>987590</v>
      </c>
      <c r="DB21" s="175">
        <v>11753.327999999998</v>
      </c>
      <c r="DC21" s="175">
        <v>126456.90175740002</v>
      </c>
      <c r="DD21" s="175">
        <v>0</v>
      </c>
      <c r="DE21" s="175">
        <v>0</v>
      </c>
      <c r="DF21" s="175">
        <v>0</v>
      </c>
      <c r="DG21" s="175">
        <v>214226</v>
      </c>
      <c r="DH21" s="175">
        <v>4252.6149999999998</v>
      </c>
      <c r="DI21" s="175">
        <v>100988.74824990009</v>
      </c>
      <c r="DJ21" s="175">
        <v>1391248</v>
      </c>
      <c r="DK21" s="175">
        <v>3750.163</v>
      </c>
      <c r="DL21" s="175">
        <v>159035.74768129992</v>
      </c>
      <c r="DM21" s="175">
        <v>1017165</v>
      </c>
      <c r="DN21" s="175">
        <v>1597.681</v>
      </c>
      <c r="DO21" s="175">
        <v>113323.57419729992</v>
      </c>
      <c r="DP21" s="175">
        <v>2622639</v>
      </c>
      <c r="DQ21" s="175">
        <v>9600.4590000000007</v>
      </c>
      <c r="DR21" s="175">
        <v>373348.07012849994</v>
      </c>
      <c r="DS21" s="175">
        <v>0</v>
      </c>
      <c r="DT21" s="175">
        <v>0</v>
      </c>
      <c r="DU21" s="175">
        <v>0</v>
      </c>
      <c r="DV21" s="175">
        <v>5273</v>
      </c>
      <c r="DW21" s="175">
        <v>3911.09</v>
      </c>
      <c r="DX21" s="175">
        <v>125118.41881920006</v>
      </c>
      <c r="DY21" s="175">
        <v>1477644</v>
      </c>
      <c r="DZ21" s="175">
        <v>4142.7280000000001</v>
      </c>
      <c r="EA21" s="175">
        <v>227871.44484669997</v>
      </c>
      <c r="EB21" s="175">
        <v>660921</v>
      </c>
      <c r="EC21" s="175">
        <v>734.48900000000003</v>
      </c>
      <c r="ED21" s="175">
        <v>79748.11749389999</v>
      </c>
      <c r="EE21" s="175">
        <v>2143838</v>
      </c>
      <c r="EF21" s="175">
        <v>8788.3070000000007</v>
      </c>
      <c r="EG21" s="175">
        <v>432737.98115980002</v>
      </c>
    </row>
    <row r="22" spans="1:137" x14ac:dyDescent="0.2">
      <c r="A22" s="170">
        <v>13</v>
      </c>
      <c r="B22" s="171" t="s">
        <v>45</v>
      </c>
      <c r="C22" s="172">
        <v>49</v>
      </c>
      <c r="D22" s="172">
        <v>12217.87</v>
      </c>
      <c r="E22" s="172">
        <v>20866.165944373523</v>
      </c>
      <c r="F22" s="172">
        <v>3404</v>
      </c>
      <c r="G22" s="172">
        <v>2634.7</v>
      </c>
      <c r="H22" s="172">
        <v>74503.090834899936</v>
      </c>
      <c r="I22" s="172">
        <v>109309</v>
      </c>
      <c r="J22" s="172">
        <v>295.11099999999999</v>
      </c>
      <c r="K22" s="172">
        <v>14127.877209282358</v>
      </c>
      <c r="L22" s="172">
        <v>488918</v>
      </c>
      <c r="M22" s="172">
        <v>502.47</v>
      </c>
      <c r="N22" s="172">
        <v>43153.216407397609</v>
      </c>
      <c r="O22" s="172">
        <v>601680</v>
      </c>
      <c r="P22" s="172">
        <v>15650.151</v>
      </c>
      <c r="Q22" s="172">
        <v>152650.35039595343</v>
      </c>
      <c r="R22" s="174">
        <v>88</v>
      </c>
      <c r="S22" s="174">
        <v>8179.9519246147065</v>
      </c>
      <c r="T22" s="174">
        <v>14475.475600000002</v>
      </c>
      <c r="U22" s="172">
        <v>3074</v>
      </c>
      <c r="V22" s="172">
        <v>1717.184</v>
      </c>
      <c r="W22" s="173">
        <v>50255.353910800055</v>
      </c>
      <c r="X22" s="175">
        <v>106515</v>
      </c>
      <c r="Y22" s="175">
        <v>304.05799999999999</v>
      </c>
      <c r="Z22" s="173">
        <v>15632.779081820157</v>
      </c>
      <c r="AA22" s="175">
        <v>551607</v>
      </c>
      <c r="AB22" s="175">
        <v>556.85200000000009</v>
      </c>
      <c r="AC22" s="173">
        <v>54498.165309880249</v>
      </c>
      <c r="AD22" s="175">
        <v>661284</v>
      </c>
      <c r="AE22" s="175">
        <v>10758.045924614706</v>
      </c>
      <c r="AF22" s="173">
        <v>134861.77390250046</v>
      </c>
      <c r="AG22" s="176">
        <v>52</v>
      </c>
      <c r="AH22" s="176">
        <v>19200</v>
      </c>
      <c r="AI22" s="176">
        <v>3489</v>
      </c>
      <c r="AJ22" s="176">
        <v>3497</v>
      </c>
      <c r="AK22" s="176">
        <v>2518</v>
      </c>
      <c r="AL22" s="176">
        <v>62437</v>
      </c>
      <c r="AM22" s="176">
        <v>109928</v>
      </c>
      <c r="AN22" s="176">
        <v>315</v>
      </c>
      <c r="AO22" s="176">
        <v>17350</v>
      </c>
      <c r="AP22" s="176">
        <v>653053</v>
      </c>
      <c r="AQ22" s="176">
        <v>664</v>
      </c>
      <c r="AR22" s="176">
        <v>58491</v>
      </c>
      <c r="AS22" s="176">
        <v>766530</v>
      </c>
      <c r="AT22" s="176">
        <v>22697</v>
      </c>
      <c r="AU22" s="176">
        <v>141767</v>
      </c>
      <c r="AV22" s="176">
        <v>19</v>
      </c>
      <c r="AW22" s="176">
        <v>17762.178</v>
      </c>
      <c r="AX22" s="176">
        <v>21953.560184999998</v>
      </c>
      <c r="AY22" s="176">
        <v>4151</v>
      </c>
      <c r="AZ22" s="176">
        <v>1898.1769999999999</v>
      </c>
      <c r="BA22" s="176">
        <v>54368.606566299997</v>
      </c>
      <c r="BB22" s="176">
        <v>130338</v>
      </c>
      <c r="BC22" s="176">
        <v>370.92700000000002</v>
      </c>
      <c r="BD22" s="176">
        <v>20161.109586729985</v>
      </c>
      <c r="BE22" s="176">
        <v>755875</v>
      </c>
      <c r="BF22" s="176">
        <v>773.90899999999999</v>
      </c>
      <c r="BG22" s="176">
        <v>70274.487579070017</v>
      </c>
      <c r="BH22" s="176">
        <v>890383</v>
      </c>
      <c r="BI22" s="176">
        <v>20805.190999999999</v>
      </c>
      <c r="BJ22" s="176">
        <v>166757.7639171</v>
      </c>
      <c r="BK22" s="177">
        <v>0</v>
      </c>
      <c r="BL22" s="177">
        <v>6275.567</v>
      </c>
      <c r="BM22" s="177">
        <v>3787.4171000000001</v>
      </c>
      <c r="BN22" s="177">
        <v>5561</v>
      </c>
      <c r="BO22" s="177">
        <v>3006.1559999999999</v>
      </c>
      <c r="BP22" s="177">
        <v>81892.16521549999</v>
      </c>
      <c r="BQ22" s="177">
        <v>147050</v>
      </c>
      <c r="BR22" s="177">
        <v>421.79899999999998</v>
      </c>
      <c r="BS22" s="177">
        <v>23276.892187698788</v>
      </c>
      <c r="BT22" s="177">
        <v>861867</v>
      </c>
      <c r="BU22" s="177">
        <v>881.64</v>
      </c>
      <c r="BV22" s="177">
        <v>84801.152236699447</v>
      </c>
      <c r="BW22" s="177">
        <v>1014478</v>
      </c>
      <c r="BX22" s="177">
        <v>10585.162</v>
      </c>
      <c r="BY22" s="177">
        <v>193757.62673989823</v>
      </c>
      <c r="BZ22" s="178">
        <v>8</v>
      </c>
      <c r="CA22" s="178">
        <v>6071.1360000000004</v>
      </c>
      <c r="CB22" s="178">
        <v>752.56859999999995</v>
      </c>
      <c r="CC22" s="178">
        <v>7128</v>
      </c>
      <c r="CD22" s="178">
        <v>4190.192</v>
      </c>
      <c r="CE22" s="178">
        <v>129181.62063675346</v>
      </c>
      <c r="CF22" s="178">
        <v>168180</v>
      </c>
      <c r="CG22" s="178">
        <v>450.65800000000002</v>
      </c>
      <c r="CH22" s="178">
        <v>26023.462040098031</v>
      </c>
      <c r="CI22" s="178">
        <v>4059444</v>
      </c>
      <c r="CJ22" s="178">
        <v>4466.741</v>
      </c>
      <c r="CK22" s="178">
        <v>70758.642890000003</v>
      </c>
      <c r="CL22" s="178">
        <v>4234760</v>
      </c>
      <c r="CM22" s="178">
        <v>15178.727000000001</v>
      </c>
      <c r="CN22" s="178">
        <v>226716.2941668515</v>
      </c>
      <c r="CO22" s="175">
        <v>8</v>
      </c>
      <c r="CP22" s="175">
        <v>3839.306</v>
      </c>
      <c r="CQ22" s="175">
        <v>173.15645000000001</v>
      </c>
      <c r="CR22" s="175">
        <v>7861</v>
      </c>
      <c r="CS22" s="175">
        <v>10819.282999999999</v>
      </c>
      <c r="CT22" s="175">
        <v>210822.32374018035</v>
      </c>
      <c r="CU22" s="175">
        <v>295781</v>
      </c>
      <c r="CV22" s="175">
        <v>858.14599999999996</v>
      </c>
      <c r="CW22" s="175">
        <v>33056.176139200004</v>
      </c>
      <c r="CX22" s="175">
        <v>870928</v>
      </c>
      <c r="CY22" s="175">
        <v>908.02300000000002</v>
      </c>
      <c r="CZ22" s="175">
        <v>25463.414046519647</v>
      </c>
      <c r="DA22" s="175">
        <v>1174578</v>
      </c>
      <c r="DB22" s="175">
        <v>16424.758000000002</v>
      </c>
      <c r="DC22" s="175">
        <v>269515.07037590002</v>
      </c>
      <c r="DD22" s="175">
        <v>0</v>
      </c>
      <c r="DE22" s="175">
        <v>0</v>
      </c>
      <c r="DF22" s="175">
        <v>0</v>
      </c>
      <c r="DG22" s="175">
        <v>13445</v>
      </c>
      <c r="DH22" s="175">
        <v>10232.19</v>
      </c>
      <c r="DI22" s="175">
        <v>190344.98931810021</v>
      </c>
      <c r="DJ22" s="175">
        <v>335298</v>
      </c>
      <c r="DK22" s="175">
        <v>978.28200000000004</v>
      </c>
      <c r="DL22" s="175">
        <v>40896.471477600004</v>
      </c>
      <c r="DM22" s="175">
        <v>731291</v>
      </c>
      <c r="DN22" s="175">
        <v>772.00800000000004</v>
      </c>
      <c r="DO22" s="175">
        <v>32676.050571700001</v>
      </c>
      <c r="DP22" s="175">
        <v>1080034</v>
      </c>
      <c r="DQ22" s="175">
        <v>11982.48</v>
      </c>
      <c r="DR22" s="175">
        <v>263917.51136740018</v>
      </c>
      <c r="DS22" s="175">
        <v>0</v>
      </c>
      <c r="DT22" s="175">
        <v>0</v>
      </c>
      <c r="DU22" s="175">
        <v>0</v>
      </c>
      <c r="DV22" s="175">
        <v>16680</v>
      </c>
      <c r="DW22" s="175">
        <v>14651.32</v>
      </c>
      <c r="DX22" s="175">
        <v>260147.27980845259</v>
      </c>
      <c r="DY22" s="175">
        <v>369577</v>
      </c>
      <c r="DZ22" s="175">
        <v>1075.19</v>
      </c>
      <c r="EA22" s="175">
        <v>51154.085285699999</v>
      </c>
      <c r="EB22" s="175">
        <v>604641</v>
      </c>
      <c r="EC22" s="175">
        <v>634.47199999999998</v>
      </c>
      <c r="ED22" s="175">
        <v>37444.4952777</v>
      </c>
      <c r="EE22" s="175">
        <v>990898</v>
      </c>
      <c r="EF22" s="175">
        <v>16360.982</v>
      </c>
      <c r="EG22" s="175">
        <v>348745.86037185258</v>
      </c>
    </row>
    <row r="23" spans="1:137" x14ac:dyDescent="0.2">
      <c r="A23" s="196">
        <v>14</v>
      </c>
      <c r="B23" s="189" t="s">
        <v>46</v>
      </c>
      <c r="C23" s="172">
        <v>116</v>
      </c>
      <c r="D23" s="172">
        <v>9887</v>
      </c>
      <c r="E23" s="173">
        <v>11007.229208300001</v>
      </c>
      <c r="F23" s="172">
        <v>802</v>
      </c>
      <c r="G23" s="172">
        <v>833</v>
      </c>
      <c r="H23" s="173">
        <v>12809.610791699999</v>
      </c>
      <c r="I23" s="172">
        <v>35788</v>
      </c>
      <c r="J23" s="172">
        <v>128</v>
      </c>
      <c r="K23" s="173">
        <v>2199.7443626000004</v>
      </c>
      <c r="L23" s="172">
        <v>57650</v>
      </c>
      <c r="M23" s="172">
        <v>85</v>
      </c>
      <c r="N23" s="173">
        <v>2202.4381453999999</v>
      </c>
      <c r="O23" s="172">
        <v>94356</v>
      </c>
      <c r="P23" s="172">
        <v>10933</v>
      </c>
      <c r="Q23" s="173">
        <v>28219.022507999998</v>
      </c>
      <c r="R23" s="174">
        <v>57</v>
      </c>
      <c r="S23" s="174">
        <v>12259.2</v>
      </c>
      <c r="T23" s="174">
        <v>7439.9045871000008</v>
      </c>
      <c r="U23" s="175">
        <v>1000</v>
      </c>
      <c r="V23" s="175">
        <v>1379.2180000000001</v>
      </c>
      <c r="W23" s="174">
        <v>21578.182197900009</v>
      </c>
      <c r="X23" s="175">
        <v>55240</v>
      </c>
      <c r="Y23" s="175">
        <v>237.23699999999999</v>
      </c>
      <c r="Z23" s="174">
        <v>3709.31702</v>
      </c>
      <c r="AA23" s="175">
        <v>59096</v>
      </c>
      <c r="AB23" s="175">
        <v>91.611999999999995</v>
      </c>
      <c r="AC23" s="174">
        <v>2405.4254900000001</v>
      </c>
      <c r="AD23" s="175">
        <v>115393</v>
      </c>
      <c r="AE23" s="175">
        <v>13967.267</v>
      </c>
      <c r="AF23" s="174">
        <v>35132.82929500001</v>
      </c>
      <c r="AG23" s="176">
        <v>28</v>
      </c>
      <c r="AH23" s="176">
        <v>5226</v>
      </c>
      <c r="AI23" s="176">
        <v>7536</v>
      </c>
      <c r="AJ23" s="176">
        <v>982</v>
      </c>
      <c r="AK23" s="176">
        <v>1606</v>
      </c>
      <c r="AL23" s="176">
        <v>26639</v>
      </c>
      <c r="AM23" s="176">
        <v>81819</v>
      </c>
      <c r="AN23" s="176">
        <v>317</v>
      </c>
      <c r="AO23" s="176">
        <v>5890</v>
      </c>
      <c r="AP23" s="176">
        <v>60868</v>
      </c>
      <c r="AQ23" s="176">
        <v>85</v>
      </c>
      <c r="AR23" s="176">
        <v>2784</v>
      </c>
      <c r="AS23" s="176">
        <v>143697</v>
      </c>
      <c r="AT23" s="176">
        <v>7234</v>
      </c>
      <c r="AU23" s="176">
        <v>42849</v>
      </c>
      <c r="AV23" s="176">
        <v>24</v>
      </c>
      <c r="AW23" s="176">
        <v>17873.059999999998</v>
      </c>
      <c r="AX23" s="176">
        <v>8508.9066380999993</v>
      </c>
      <c r="AY23" s="176">
        <v>1125</v>
      </c>
      <c r="AZ23" s="176">
        <v>718.29300000000012</v>
      </c>
      <c r="BA23" s="176">
        <v>32023.182270000001</v>
      </c>
      <c r="BB23" s="176">
        <v>99585</v>
      </c>
      <c r="BC23" s="176">
        <v>320.85599999999999</v>
      </c>
      <c r="BD23" s="176">
        <v>7960.8069999999998</v>
      </c>
      <c r="BE23" s="176">
        <v>55384</v>
      </c>
      <c r="BF23" s="176">
        <v>72.456999999999994</v>
      </c>
      <c r="BG23" s="176">
        <v>2810.1594108000004</v>
      </c>
      <c r="BH23" s="176">
        <v>156118</v>
      </c>
      <c r="BI23" s="176">
        <v>18984.665999999997</v>
      </c>
      <c r="BJ23" s="176">
        <v>51303.055318899998</v>
      </c>
      <c r="BK23" s="177">
        <v>0</v>
      </c>
      <c r="BL23" s="177">
        <v>17872.953000000001</v>
      </c>
      <c r="BM23" s="177">
        <v>8630.3869180999991</v>
      </c>
      <c r="BN23" s="177">
        <v>1603</v>
      </c>
      <c r="BO23" s="177">
        <v>2089.779</v>
      </c>
      <c r="BP23" s="177">
        <v>45753.871649699984</v>
      </c>
      <c r="BQ23" s="177">
        <v>105119</v>
      </c>
      <c r="BR23" s="177">
        <v>352.005</v>
      </c>
      <c r="BS23" s="177">
        <v>9420.8191065000301</v>
      </c>
      <c r="BT23" s="177">
        <v>58276</v>
      </c>
      <c r="BU23" s="177">
        <v>74.911000000000001</v>
      </c>
      <c r="BV23" s="177">
        <v>2931.8951584000047</v>
      </c>
      <c r="BW23" s="177">
        <v>164998</v>
      </c>
      <c r="BX23" s="177">
        <v>20389.648000000001</v>
      </c>
      <c r="BY23" s="177">
        <v>66736.972832700019</v>
      </c>
      <c r="BZ23" s="178">
        <v>24</v>
      </c>
      <c r="CA23" s="178">
        <v>20010.29</v>
      </c>
      <c r="CB23" s="178">
        <v>5691.8176400000002</v>
      </c>
      <c r="CC23" s="178">
        <v>1731</v>
      </c>
      <c r="CD23" s="178">
        <v>1613.08</v>
      </c>
      <c r="CE23" s="178">
        <v>60491.0606157</v>
      </c>
      <c r="CF23" s="178">
        <v>99294</v>
      </c>
      <c r="CG23" s="178">
        <v>323.47800000000001</v>
      </c>
      <c r="CH23" s="178">
        <v>10634.991893499982</v>
      </c>
      <c r="CI23" s="178">
        <v>54405</v>
      </c>
      <c r="CJ23" s="178">
        <v>68.153999999999996</v>
      </c>
      <c r="CK23" s="178">
        <v>3173.0991565000027</v>
      </c>
      <c r="CL23" s="178">
        <v>155454</v>
      </c>
      <c r="CM23" s="178">
        <v>22015.002</v>
      </c>
      <c r="CN23" s="178">
        <v>79990.969305699982</v>
      </c>
      <c r="CO23" s="175">
        <v>1</v>
      </c>
      <c r="CP23" s="175">
        <v>22801.401999999998</v>
      </c>
      <c r="CQ23" s="175">
        <v>24534.160249699999</v>
      </c>
      <c r="CR23" s="175">
        <v>2062</v>
      </c>
      <c r="CS23" s="175">
        <v>2514.6210000000001</v>
      </c>
      <c r="CT23" s="175">
        <v>91478.581139999995</v>
      </c>
      <c r="CU23" s="175">
        <v>86345</v>
      </c>
      <c r="CV23" s="175">
        <v>278.512</v>
      </c>
      <c r="CW23" s="175">
        <v>11927.479390299954</v>
      </c>
      <c r="CX23" s="175">
        <v>137618</v>
      </c>
      <c r="CY23" s="175">
        <v>154.81100000000001</v>
      </c>
      <c r="CZ23" s="175">
        <v>3640.8608009000122</v>
      </c>
      <c r="DA23" s="175">
        <v>226026</v>
      </c>
      <c r="DB23" s="175">
        <v>25749.345999999998</v>
      </c>
      <c r="DC23" s="175">
        <v>131581.08158089995</v>
      </c>
      <c r="DD23" s="175">
        <v>1</v>
      </c>
      <c r="DE23" s="175">
        <v>13850.217000000001</v>
      </c>
      <c r="DF23" s="175">
        <v>35450.084390000004</v>
      </c>
      <c r="DG23" s="175">
        <v>3161</v>
      </c>
      <c r="DH23" s="175">
        <v>3145.3069999999998</v>
      </c>
      <c r="DI23" s="175">
        <v>99980.102593900127</v>
      </c>
      <c r="DJ23" s="175">
        <v>92982</v>
      </c>
      <c r="DK23" s="175">
        <v>292.209</v>
      </c>
      <c r="DL23" s="175">
        <v>13257.341022399822</v>
      </c>
      <c r="DM23" s="175">
        <v>333690</v>
      </c>
      <c r="DN23" s="175">
        <v>384.53300000000002</v>
      </c>
      <c r="DO23" s="175">
        <v>7481.9065412947921</v>
      </c>
      <c r="DP23" s="175">
        <v>429834</v>
      </c>
      <c r="DQ23" s="175">
        <v>17672.266</v>
      </c>
      <c r="DR23" s="175">
        <v>156169.43454759478</v>
      </c>
      <c r="DS23" s="175">
        <v>2</v>
      </c>
      <c r="DT23" s="175">
        <v>10306.677</v>
      </c>
      <c r="DU23" s="175">
        <v>34032.347589999998</v>
      </c>
      <c r="DV23" s="175">
        <v>2821</v>
      </c>
      <c r="DW23" s="175">
        <v>3326.2170000000001</v>
      </c>
      <c r="DX23" s="175">
        <v>122406.17631309938</v>
      </c>
      <c r="DY23" s="175">
        <v>81611</v>
      </c>
      <c r="DZ23" s="175">
        <v>255.15</v>
      </c>
      <c r="EA23" s="175">
        <v>13309.741074499105</v>
      </c>
      <c r="EB23" s="175">
        <v>318865</v>
      </c>
      <c r="EC23" s="175">
        <v>342.40499999999997</v>
      </c>
      <c r="ED23" s="175">
        <v>5485.4841780983952</v>
      </c>
      <c r="EE23" s="175">
        <v>403299</v>
      </c>
      <c r="EF23" s="175">
        <v>14230.449000000001</v>
      </c>
      <c r="EG23" s="175">
        <v>175233.74915569686</v>
      </c>
    </row>
    <row r="24" spans="1:137" x14ac:dyDescent="0.2">
      <c r="A24" s="170">
        <v>15</v>
      </c>
      <c r="B24" s="189" t="s">
        <v>47</v>
      </c>
      <c r="C24" s="172"/>
      <c r="D24" s="172"/>
      <c r="E24" s="173"/>
      <c r="F24" s="172"/>
      <c r="G24" s="172"/>
      <c r="H24" s="173"/>
      <c r="I24" s="172"/>
      <c r="J24" s="172"/>
      <c r="K24" s="173"/>
      <c r="L24" s="172"/>
      <c r="M24" s="172"/>
      <c r="N24" s="173"/>
      <c r="O24" s="172"/>
      <c r="P24" s="172"/>
      <c r="Q24" s="173"/>
      <c r="R24" s="174"/>
      <c r="S24" s="174"/>
      <c r="T24" s="174"/>
      <c r="U24" s="175"/>
      <c r="V24" s="175"/>
      <c r="W24" s="174"/>
      <c r="X24" s="175"/>
      <c r="Y24" s="175"/>
      <c r="Z24" s="174"/>
      <c r="AA24" s="175"/>
      <c r="AB24" s="175"/>
      <c r="AC24" s="174"/>
      <c r="AD24" s="175"/>
      <c r="AE24" s="175"/>
      <c r="AF24" s="174"/>
      <c r="AG24" s="176"/>
      <c r="AH24" s="176"/>
      <c r="AI24" s="176"/>
      <c r="AJ24" s="176"/>
      <c r="AK24" s="176"/>
      <c r="AL24" s="176"/>
      <c r="AM24" s="176">
        <v>56</v>
      </c>
      <c r="AN24" s="176">
        <v>0.16</v>
      </c>
      <c r="AO24" s="176">
        <v>5</v>
      </c>
      <c r="AP24" s="176">
        <v>71</v>
      </c>
      <c r="AQ24" s="176">
        <v>0.08</v>
      </c>
      <c r="AR24" s="176">
        <v>4</v>
      </c>
      <c r="AS24" s="176">
        <v>127</v>
      </c>
      <c r="AT24" s="176">
        <v>0.24</v>
      </c>
      <c r="AU24" s="176">
        <v>9</v>
      </c>
      <c r="AV24" s="176"/>
      <c r="AW24" s="176"/>
      <c r="AX24" s="176"/>
      <c r="AY24" s="176"/>
      <c r="AZ24" s="176"/>
      <c r="BA24" s="176"/>
      <c r="BB24" s="176">
        <v>5007</v>
      </c>
      <c r="BC24" s="176">
        <v>15.31</v>
      </c>
      <c r="BD24" s="176">
        <v>538.51</v>
      </c>
      <c r="BE24" s="176">
        <v>8260</v>
      </c>
      <c r="BF24" s="176">
        <v>8.51</v>
      </c>
      <c r="BG24" s="176">
        <v>406.41</v>
      </c>
      <c r="BH24" s="176">
        <v>13267</v>
      </c>
      <c r="BI24" s="176">
        <v>23.82</v>
      </c>
      <c r="BJ24" s="176">
        <v>944.92000000000007</v>
      </c>
      <c r="BK24" s="177">
        <v>0</v>
      </c>
      <c r="BL24" s="177">
        <v>0</v>
      </c>
      <c r="BM24" s="177">
        <v>0</v>
      </c>
      <c r="BN24" s="177">
        <v>98</v>
      </c>
      <c r="BO24" s="177">
        <v>21.149000000000001</v>
      </c>
      <c r="BP24" s="177">
        <v>520.57111666872277</v>
      </c>
      <c r="BQ24" s="177">
        <v>10303</v>
      </c>
      <c r="BR24" s="177">
        <v>31.998000000000001</v>
      </c>
      <c r="BS24" s="177">
        <v>1103.0913887000002</v>
      </c>
      <c r="BT24" s="177">
        <v>16802</v>
      </c>
      <c r="BU24" s="177">
        <v>18.241</v>
      </c>
      <c r="BV24" s="177">
        <v>904.22903400000018</v>
      </c>
      <c r="BW24" s="177">
        <v>27203</v>
      </c>
      <c r="BX24" s="177">
        <v>71.388000000000005</v>
      </c>
      <c r="BY24" s="177">
        <v>2527.891539368723</v>
      </c>
      <c r="BZ24" s="178">
        <v>0</v>
      </c>
      <c r="CA24" s="178">
        <v>0</v>
      </c>
      <c r="CB24" s="178">
        <v>0</v>
      </c>
      <c r="CC24" s="178">
        <v>313602</v>
      </c>
      <c r="CD24" s="178">
        <v>366.17599999999999</v>
      </c>
      <c r="CE24" s="178">
        <v>2646.8847614980605</v>
      </c>
      <c r="CF24" s="178">
        <v>15578</v>
      </c>
      <c r="CG24" s="178">
        <v>49.017000000000003</v>
      </c>
      <c r="CH24" s="178">
        <v>1895.4456563000017</v>
      </c>
      <c r="CI24" s="178">
        <v>20751</v>
      </c>
      <c r="CJ24" s="178">
        <v>23.959</v>
      </c>
      <c r="CK24" s="178">
        <v>1533.8425019000035</v>
      </c>
      <c r="CL24" s="178">
        <v>349931</v>
      </c>
      <c r="CM24" s="178">
        <v>439.15199999999999</v>
      </c>
      <c r="CN24" s="178">
        <v>6076.1729196980659</v>
      </c>
      <c r="CO24" s="175">
        <v>0</v>
      </c>
      <c r="CP24" s="175">
        <v>0</v>
      </c>
      <c r="CQ24" s="175">
        <v>0</v>
      </c>
      <c r="CR24" s="175">
        <v>416</v>
      </c>
      <c r="CS24" s="175">
        <v>915.20699999999999</v>
      </c>
      <c r="CT24" s="175">
        <v>6893.6190082992898</v>
      </c>
      <c r="CU24" s="175">
        <v>15325</v>
      </c>
      <c r="CV24" s="175">
        <v>48.929000000000002</v>
      </c>
      <c r="CW24" s="175">
        <v>2232.9768908000001</v>
      </c>
      <c r="CX24" s="175">
        <v>15487</v>
      </c>
      <c r="CY24" s="175">
        <v>18.202000000000002</v>
      </c>
      <c r="CZ24" s="175">
        <v>1441.4936243</v>
      </c>
      <c r="DA24" s="175">
        <v>31228</v>
      </c>
      <c r="DB24" s="175">
        <v>982.33799999999997</v>
      </c>
      <c r="DC24" s="175">
        <v>10568.089523399289</v>
      </c>
      <c r="DD24" s="175">
        <v>0</v>
      </c>
      <c r="DE24" s="175">
        <v>0</v>
      </c>
      <c r="DF24" s="175">
        <v>0</v>
      </c>
      <c r="DG24" s="175">
        <v>1403</v>
      </c>
      <c r="DH24" s="175">
        <v>974.80200000000002</v>
      </c>
      <c r="DI24" s="175">
        <v>10430.18133900157</v>
      </c>
      <c r="DJ24" s="175">
        <v>28262</v>
      </c>
      <c r="DK24" s="175">
        <v>89.238</v>
      </c>
      <c r="DL24" s="175">
        <v>4030.5002952000009</v>
      </c>
      <c r="DM24" s="175">
        <v>44915</v>
      </c>
      <c r="DN24" s="175">
        <v>48.39</v>
      </c>
      <c r="DO24" s="175">
        <v>3456.178801799987</v>
      </c>
      <c r="DP24" s="175">
        <v>74580</v>
      </c>
      <c r="DQ24" s="175">
        <v>1112.43</v>
      </c>
      <c r="DR24" s="175">
        <v>17916.86043600156</v>
      </c>
      <c r="DS24" s="175">
        <v>0</v>
      </c>
      <c r="DT24" s="175">
        <v>0</v>
      </c>
      <c r="DU24" s="175">
        <v>0</v>
      </c>
      <c r="DV24" s="175">
        <v>6101</v>
      </c>
      <c r="DW24" s="175">
        <v>2436.9650000000001</v>
      </c>
      <c r="DX24" s="175">
        <v>15311.076607113462</v>
      </c>
      <c r="DY24" s="175">
        <v>33028</v>
      </c>
      <c r="DZ24" s="175">
        <v>104.361</v>
      </c>
      <c r="EA24" s="175">
        <v>4985.1271881999937</v>
      </c>
      <c r="EB24" s="175">
        <v>40096</v>
      </c>
      <c r="EC24" s="175">
        <v>43.441000000000003</v>
      </c>
      <c r="ED24" s="175">
        <v>3331.1921063999794</v>
      </c>
      <c r="EE24" s="175">
        <v>79225</v>
      </c>
      <c r="EF24" s="175">
        <v>2584.7670000000003</v>
      </c>
      <c r="EG24" s="175">
        <v>23627.395901713433</v>
      </c>
    </row>
    <row r="25" spans="1:137" x14ac:dyDescent="0.2">
      <c r="A25" s="196">
        <v>16</v>
      </c>
      <c r="B25" s="171" t="s">
        <v>48</v>
      </c>
      <c r="C25" s="173"/>
      <c r="D25" s="172"/>
      <c r="E25" s="173"/>
      <c r="F25" s="173">
        <v>61</v>
      </c>
      <c r="G25" s="172">
        <v>43.69</v>
      </c>
      <c r="H25" s="173">
        <v>419.21678129999998</v>
      </c>
      <c r="I25" s="173"/>
      <c r="J25" s="172"/>
      <c r="K25" s="173"/>
      <c r="L25" s="173"/>
      <c r="M25" s="172"/>
      <c r="N25" s="173"/>
      <c r="O25" s="173">
        <v>61</v>
      </c>
      <c r="P25" s="172">
        <v>43.69</v>
      </c>
      <c r="Q25" s="173">
        <v>419.21678129999998</v>
      </c>
      <c r="R25" s="174"/>
      <c r="S25" s="174"/>
      <c r="T25" s="174"/>
      <c r="U25" s="175">
        <v>343</v>
      </c>
      <c r="V25" s="175">
        <v>179.536</v>
      </c>
      <c r="W25" s="174">
        <v>3679.0178037999985</v>
      </c>
      <c r="X25" s="175">
        <v>111</v>
      </c>
      <c r="Y25" s="175">
        <v>0.32500000000000001</v>
      </c>
      <c r="Z25" s="174">
        <v>9.9926302999999983</v>
      </c>
      <c r="AA25" s="175">
        <v>120</v>
      </c>
      <c r="AB25" s="175">
        <v>0.121</v>
      </c>
      <c r="AC25" s="174">
        <v>5.7212173000000002</v>
      </c>
      <c r="AD25" s="175">
        <v>574</v>
      </c>
      <c r="AE25" s="175">
        <v>179.982</v>
      </c>
      <c r="AF25" s="174">
        <v>3694.7316513999986</v>
      </c>
      <c r="AG25" s="176"/>
      <c r="AH25" s="176"/>
      <c r="AI25" s="176"/>
      <c r="AJ25" s="176">
        <v>424</v>
      </c>
      <c r="AK25" s="176">
        <v>223</v>
      </c>
      <c r="AL25" s="176">
        <v>5548</v>
      </c>
      <c r="AM25" s="176">
        <v>1436</v>
      </c>
      <c r="AN25" s="176">
        <v>4</v>
      </c>
      <c r="AO25" s="176">
        <v>162</v>
      </c>
      <c r="AP25" s="176">
        <v>4088</v>
      </c>
      <c r="AQ25" s="176">
        <v>4</v>
      </c>
      <c r="AR25" s="176">
        <v>186</v>
      </c>
      <c r="AS25" s="176">
        <v>5948</v>
      </c>
      <c r="AT25" s="176">
        <v>231</v>
      </c>
      <c r="AU25" s="176">
        <v>5897</v>
      </c>
      <c r="AV25" s="176"/>
      <c r="AW25" s="176"/>
      <c r="AX25" s="176"/>
      <c r="AY25" s="176">
        <v>676</v>
      </c>
      <c r="AZ25" s="176">
        <v>647.13800000000026</v>
      </c>
      <c r="BA25" s="176">
        <v>6853.4542714999998</v>
      </c>
      <c r="BB25" s="176">
        <v>4456</v>
      </c>
      <c r="BC25" s="176">
        <v>14.310000000000008</v>
      </c>
      <c r="BD25" s="176">
        <v>372.42475639999998</v>
      </c>
      <c r="BE25" s="176">
        <v>5786</v>
      </c>
      <c r="BF25" s="176">
        <v>7.3980000000005868</v>
      </c>
      <c r="BG25" s="176">
        <v>655.06362740000259</v>
      </c>
      <c r="BH25" s="176">
        <v>10918</v>
      </c>
      <c r="BI25" s="176">
        <v>668.84600000000091</v>
      </c>
      <c r="BJ25" s="176">
        <v>7880.9426553000021</v>
      </c>
      <c r="BK25" s="177">
        <v>0</v>
      </c>
      <c r="BL25" s="177">
        <v>0</v>
      </c>
      <c r="BM25" s="177">
        <v>0</v>
      </c>
      <c r="BN25" s="177">
        <v>633</v>
      </c>
      <c r="BO25" s="177">
        <v>498.66199999999998</v>
      </c>
      <c r="BP25" s="177">
        <v>10091.191822799979</v>
      </c>
      <c r="BQ25" s="177">
        <v>13118</v>
      </c>
      <c r="BR25" s="177">
        <v>40.505000000000003</v>
      </c>
      <c r="BS25" s="177">
        <v>957.23513079999816</v>
      </c>
      <c r="BT25" s="177">
        <v>10977</v>
      </c>
      <c r="BU25" s="177">
        <v>13.099</v>
      </c>
      <c r="BV25" s="177">
        <v>860.40760399999408</v>
      </c>
      <c r="BW25" s="177">
        <v>24728</v>
      </c>
      <c r="BX25" s="177">
        <v>552.26600000000008</v>
      </c>
      <c r="BY25" s="177">
        <v>11908.834557599972</v>
      </c>
      <c r="BZ25" s="178">
        <v>0</v>
      </c>
      <c r="CA25" s="178">
        <v>0</v>
      </c>
      <c r="CB25" s="178">
        <v>0</v>
      </c>
      <c r="CC25" s="178">
        <v>11190</v>
      </c>
      <c r="CD25" s="178">
        <v>786.17499999999995</v>
      </c>
      <c r="CE25" s="178">
        <v>23139.768561900004</v>
      </c>
      <c r="CF25" s="178">
        <v>25464</v>
      </c>
      <c r="CG25" s="178">
        <v>77.007999999999996</v>
      </c>
      <c r="CH25" s="178">
        <v>1523.9914306999997</v>
      </c>
      <c r="CI25" s="178">
        <v>14038</v>
      </c>
      <c r="CJ25" s="178">
        <v>17.231000000000002</v>
      </c>
      <c r="CK25" s="178">
        <v>1050.9036191999992</v>
      </c>
      <c r="CL25" s="178">
        <v>50692</v>
      </c>
      <c r="CM25" s="178">
        <v>880.41399999999999</v>
      </c>
      <c r="CN25" s="178">
        <v>25714.663611800002</v>
      </c>
      <c r="CO25" s="175">
        <v>0</v>
      </c>
      <c r="CP25" s="175">
        <v>0</v>
      </c>
      <c r="CQ25" s="175">
        <v>0</v>
      </c>
      <c r="CR25" s="175">
        <v>5464</v>
      </c>
      <c r="CS25" s="175">
        <v>751.29399999999998</v>
      </c>
      <c r="CT25" s="175">
        <v>21757.278095200007</v>
      </c>
      <c r="CU25" s="175">
        <v>29818</v>
      </c>
      <c r="CV25" s="175">
        <v>94.430999999999997</v>
      </c>
      <c r="CW25" s="175">
        <v>1857.8579058999894</v>
      </c>
      <c r="CX25" s="175">
        <v>15666</v>
      </c>
      <c r="CY25" s="175">
        <v>18.801000000000002</v>
      </c>
      <c r="CZ25" s="175">
        <v>746.66149440000174</v>
      </c>
      <c r="DA25" s="175">
        <v>50948</v>
      </c>
      <c r="DB25" s="175">
        <v>864.52600000000007</v>
      </c>
      <c r="DC25" s="175">
        <v>24361.797495499999</v>
      </c>
      <c r="DD25" s="175">
        <v>0</v>
      </c>
      <c r="DE25" s="175">
        <v>0</v>
      </c>
      <c r="DF25" s="175">
        <v>0</v>
      </c>
      <c r="DG25" s="175">
        <v>15022</v>
      </c>
      <c r="DH25" s="175">
        <v>529.49400000000003</v>
      </c>
      <c r="DI25" s="175">
        <v>18352.823708699987</v>
      </c>
      <c r="DJ25" s="175">
        <v>49550</v>
      </c>
      <c r="DK25" s="175">
        <v>149.488</v>
      </c>
      <c r="DL25" s="175">
        <v>2561.3826448999807</v>
      </c>
      <c r="DM25" s="175">
        <v>48620</v>
      </c>
      <c r="DN25" s="175">
        <v>52.426000000000002</v>
      </c>
      <c r="DO25" s="175">
        <v>1102.5057773000001</v>
      </c>
      <c r="DP25" s="175">
        <v>113192</v>
      </c>
      <c r="DQ25" s="175">
        <v>731.40800000000002</v>
      </c>
      <c r="DR25" s="175">
        <v>22016.71213089997</v>
      </c>
      <c r="DS25" s="175">
        <v>0</v>
      </c>
      <c r="DT25" s="175">
        <v>0</v>
      </c>
      <c r="DU25" s="175">
        <v>0</v>
      </c>
      <c r="DV25" s="175">
        <v>11589</v>
      </c>
      <c r="DW25" s="175">
        <v>4987.0259999999998</v>
      </c>
      <c r="DX25" s="175">
        <v>19809.022422999959</v>
      </c>
      <c r="DY25" s="175">
        <v>52974</v>
      </c>
      <c r="DZ25" s="175">
        <v>167.185</v>
      </c>
      <c r="EA25" s="175">
        <v>2775.5393697</v>
      </c>
      <c r="EB25" s="175">
        <v>46823</v>
      </c>
      <c r="EC25" s="175">
        <v>51.658000000000001</v>
      </c>
      <c r="ED25" s="175">
        <v>1191.8534287</v>
      </c>
      <c r="EE25" s="175">
        <v>111386</v>
      </c>
      <c r="EF25" s="175">
        <v>5205.8689999999997</v>
      </c>
      <c r="EG25" s="175">
        <v>23776.415221399959</v>
      </c>
    </row>
    <row r="26" spans="1:137" x14ac:dyDescent="0.2">
      <c r="A26" s="170">
        <v>17</v>
      </c>
      <c r="B26" s="189" t="s">
        <v>49</v>
      </c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4"/>
      <c r="S26" s="174"/>
      <c r="T26" s="174"/>
      <c r="U26" s="175"/>
      <c r="V26" s="175"/>
      <c r="W26" s="175"/>
      <c r="X26" s="175"/>
      <c r="Y26" s="175"/>
      <c r="Z26" s="175"/>
      <c r="AA26" s="175">
        <v>1</v>
      </c>
      <c r="AB26" s="175">
        <v>1E-3</v>
      </c>
      <c r="AC26" s="175">
        <v>5.4969999999999998E-2</v>
      </c>
      <c r="AD26" s="175">
        <v>1</v>
      </c>
      <c r="AE26" s="175">
        <v>1E-3</v>
      </c>
      <c r="AF26" s="175">
        <v>5.4969999999999998E-2</v>
      </c>
      <c r="AG26" s="176"/>
      <c r="AH26" s="176"/>
      <c r="AI26" s="176"/>
      <c r="AJ26" s="176"/>
      <c r="AK26" s="176"/>
      <c r="AL26" s="176"/>
      <c r="AM26" s="176"/>
      <c r="AN26" s="176"/>
      <c r="AO26" s="176"/>
      <c r="AP26" s="176">
        <v>1</v>
      </c>
      <c r="AQ26" s="176">
        <v>1E-3</v>
      </c>
      <c r="AR26" s="176">
        <v>0.05</v>
      </c>
      <c r="AS26" s="176">
        <v>1</v>
      </c>
      <c r="AT26" s="176">
        <v>1E-3</v>
      </c>
      <c r="AU26" s="176">
        <v>0.05</v>
      </c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>
        <v>0</v>
      </c>
      <c r="BI26" s="176">
        <v>0</v>
      </c>
      <c r="BJ26" s="176">
        <v>0</v>
      </c>
      <c r="BK26" s="177">
        <v>0</v>
      </c>
      <c r="BL26" s="177">
        <v>0</v>
      </c>
      <c r="BM26" s="177">
        <v>0</v>
      </c>
      <c r="BN26" s="177">
        <v>2</v>
      </c>
      <c r="BO26" s="177">
        <v>15.914</v>
      </c>
      <c r="BP26" s="177">
        <v>578.89288999999997</v>
      </c>
      <c r="BQ26" s="177">
        <v>961</v>
      </c>
      <c r="BR26" s="177">
        <v>1.8080000000000001</v>
      </c>
      <c r="BS26" s="177">
        <v>53.46105</v>
      </c>
      <c r="BT26" s="177">
        <v>33709</v>
      </c>
      <c r="BU26" s="177">
        <v>34.03</v>
      </c>
      <c r="BV26" s="177">
        <v>1042.989004</v>
      </c>
      <c r="BW26" s="177">
        <v>34672</v>
      </c>
      <c r="BX26" s="177">
        <v>51.752000000000002</v>
      </c>
      <c r="BY26" s="177">
        <v>1675.342944</v>
      </c>
      <c r="BZ26" s="178">
        <v>0</v>
      </c>
      <c r="CA26" s="178">
        <v>0</v>
      </c>
      <c r="CB26" s="178">
        <v>0</v>
      </c>
      <c r="CC26" s="178">
        <v>270</v>
      </c>
      <c r="CD26" s="178">
        <v>64.953999999999994</v>
      </c>
      <c r="CE26" s="178">
        <v>7857.9877241999993</v>
      </c>
      <c r="CF26" s="178">
        <v>3811</v>
      </c>
      <c r="CG26" s="178">
        <v>7.0629999999999997</v>
      </c>
      <c r="CH26" s="178">
        <v>256.60654</v>
      </c>
      <c r="CI26" s="178">
        <v>396</v>
      </c>
      <c r="CJ26" s="178">
        <v>0.38200000000000001</v>
      </c>
      <c r="CK26" s="178">
        <v>14.162190000000001</v>
      </c>
      <c r="CL26" s="178">
        <v>4477</v>
      </c>
      <c r="CM26" s="178">
        <v>72.399000000000001</v>
      </c>
      <c r="CN26" s="178">
        <v>8128.7564541999991</v>
      </c>
      <c r="CO26" s="175">
        <v>0</v>
      </c>
      <c r="CP26" s="175">
        <v>0</v>
      </c>
      <c r="CQ26" s="175">
        <v>0</v>
      </c>
      <c r="CR26" s="175">
        <v>125</v>
      </c>
      <c r="CS26" s="175">
        <v>89.213999999999999</v>
      </c>
      <c r="CT26" s="175">
        <v>3779.9484579999898</v>
      </c>
      <c r="CU26" s="175">
        <v>5428</v>
      </c>
      <c r="CV26" s="175">
        <v>17.283999999999999</v>
      </c>
      <c r="CW26" s="175">
        <v>652.84055000000001</v>
      </c>
      <c r="CX26" s="175">
        <v>5765</v>
      </c>
      <c r="CY26" s="175">
        <v>5.7610000000000001</v>
      </c>
      <c r="CZ26" s="175">
        <v>330.21866999999997</v>
      </c>
      <c r="DA26" s="175">
        <v>11318</v>
      </c>
      <c r="DB26" s="175">
        <v>112.25899999999999</v>
      </c>
      <c r="DC26" s="175">
        <v>4763.0076779999899</v>
      </c>
      <c r="DD26" s="175">
        <v>0</v>
      </c>
      <c r="DE26" s="175">
        <v>0</v>
      </c>
      <c r="DF26" s="175">
        <v>0</v>
      </c>
      <c r="DG26" s="175">
        <v>607</v>
      </c>
      <c r="DH26" s="175">
        <v>157.18</v>
      </c>
      <c r="DI26" s="175">
        <v>4264.3807272002377</v>
      </c>
      <c r="DJ26" s="175">
        <v>12744</v>
      </c>
      <c r="DK26" s="175">
        <v>40.517000000000003</v>
      </c>
      <c r="DL26" s="175">
        <v>1506.91013</v>
      </c>
      <c r="DM26" s="175">
        <v>46687</v>
      </c>
      <c r="DN26" s="175">
        <v>46.682000000000002</v>
      </c>
      <c r="DO26" s="175">
        <v>1849.4890468000001</v>
      </c>
      <c r="DP26" s="175">
        <v>60038</v>
      </c>
      <c r="DQ26" s="175">
        <v>244.37900000000002</v>
      </c>
      <c r="DR26" s="175">
        <v>7620.7799040002383</v>
      </c>
      <c r="DS26" s="175">
        <v>0</v>
      </c>
      <c r="DT26" s="175">
        <v>0</v>
      </c>
      <c r="DU26" s="175">
        <v>0</v>
      </c>
      <c r="DV26" s="175">
        <v>773</v>
      </c>
      <c r="DW26" s="175">
        <v>301.733</v>
      </c>
      <c r="DX26" s="175">
        <v>7544.1029579999995</v>
      </c>
      <c r="DY26" s="175">
        <v>15913</v>
      </c>
      <c r="DZ26" s="175">
        <v>51.584000000000003</v>
      </c>
      <c r="EA26" s="175">
        <v>2196.0287400000002</v>
      </c>
      <c r="EB26" s="175">
        <v>16681</v>
      </c>
      <c r="EC26" s="175">
        <v>16.731000000000002</v>
      </c>
      <c r="ED26" s="175">
        <v>1002.5021400000001</v>
      </c>
      <c r="EE26" s="175">
        <v>33367</v>
      </c>
      <c r="EF26" s="175">
        <v>370.048</v>
      </c>
      <c r="EG26" s="175">
        <v>10742.633838</v>
      </c>
    </row>
    <row r="27" spans="1:137" x14ac:dyDescent="0.2">
      <c r="A27" s="196">
        <v>18</v>
      </c>
      <c r="B27" s="171" t="s">
        <v>50</v>
      </c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4"/>
      <c r="S27" s="174"/>
      <c r="T27" s="174"/>
      <c r="U27" s="175"/>
      <c r="V27" s="175"/>
      <c r="W27" s="174"/>
      <c r="X27" s="175"/>
      <c r="Y27" s="175"/>
      <c r="Z27" s="174"/>
      <c r="AA27" s="175"/>
      <c r="AB27" s="175"/>
      <c r="AC27" s="174"/>
      <c r="AD27" s="175"/>
      <c r="AE27" s="175"/>
      <c r="AF27" s="174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7">
        <v>0</v>
      </c>
      <c r="BL27" s="177">
        <v>0</v>
      </c>
      <c r="BM27" s="177">
        <v>0</v>
      </c>
      <c r="BN27" s="177">
        <v>48035</v>
      </c>
      <c r="BO27" s="177">
        <v>61.939</v>
      </c>
      <c r="BP27" s="177">
        <v>6737.4443231000014</v>
      </c>
      <c r="BQ27" s="177">
        <v>0</v>
      </c>
      <c r="BR27" s="177">
        <v>0</v>
      </c>
      <c r="BS27" s="177">
        <v>0</v>
      </c>
      <c r="BT27" s="177">
        <v>0</v>
      </c>
      <c r="BU27" s="177">
        <v>0</v>
      </c>
      <c r="BV27" s="177">
        <v>0</v>
      </c>
      <c r="BW27" s="177">
        <v>48035</v>
      </c>
      <c r="BX27" s="177">
        <v>61.939</v>
      </c>
      <c r="BY27" s="177">
        <v>6737.4443231000014</v>
      </c>
      <c r="BZ27" s="178">
        <v>0</v>
      </c>
      <c r="CA27" s="178">
        <v>0</v>
      </c>
      <c r="CB27" s="178">
        <v>0</v>
      </c>
      <c r="CC27" s="178">
        <v>119732</v>
      </c>
      <c r="CD27" s="178">
        <v>199.733</v>
      </c>
      <c r="CE27" s="178">
        <v>10425.720569500001</v>
      </c>
      <c r="CF27" s="178">
        <v>0</v>
      </c>
      <c r="CG27" s="178">
        <v>0</v>
      </c>
      <c r="CH27" s="178">
        <v>0</v>
      </c>
      <c r="CI27" s="178">
        <v>1</v>
      </c>
      <c r="CJ27" s="178">
        <v>1E-3</v>
      </c>
      <c r="CK27" s="178">
        <v>4.6780000000000002E-2</v>
      </c>
      <c r="CL27" s="178">
        <v>119733</v>
      </c>
      <c r="CM27" s="178">
        <v>199.73400000000001</v>
      </c>
      <c r="CN27" s="178">
        <v>10425.767349500002</v>
      </c>
      <c r="CO27" s="175">
        <v>0</v>
      </c>
      <c r="CP27" s="175">
        <v>0</v>
      </c>
      <c r="CQ27" s="175">
        <v>0</v>
      </c>
      <c r="CR27" s="175">
        <v>32</v>
      </c>
      <c r="CS27" s="175">
        <v>222.61500000000001</v>
      </c>
      <c r="CT27" s="175">
        <v>3330.0490868066108</v>
      </c>
      <c r="CU27" s="175">
        <v>47</v>
      </c>
      <c r="CV27" s="175">
        <v>0.113</v>
      </c>
      <c r="CW27" s="175">
        <v>1.3650640203389828</v>
      </c>
      <c r="CX27" s="175">
        <v>4524</v>
      </c>
      <c r="CY27" s="175">
        <v>4.524</v>
      </c>
      <c r="CZ27" s="175">
        <v>3.8376705000002658</v>
      </c>
      <c r="DA27" s="175">
        <v>4603</v>
      </c>
      <c r="DB27" s="175">
        <v>227.25200000000001</v>
      </c>
      <c r="DC27" s="175">
        <v>3335.25182132695</v>
      </c>
      <c r="DD27" s="175">
        <v>0</v>
      </c>
      <c r="DE27" s="175">
        <v>0</v>
      </c>
      <c r="DF27" s="175">
        <v>0</v>
      </c>
      <c r="DG27" s="175">
        <v>37</v>
      </c>
      <c r="DH27" s="175">
        <v>209.583</v>
      </c>
      <c r="DI27" s="175">
        <v>2048.2506517999786</v>
      </c>
      <c r="DJ27" s="175">
        <v>229</v>
      </c>
      <c r="DK27" s="175">
        <v>0.308</v>
      </c>
      <c r="DL27" s="175">
        <v>10.98194</v>
      </c>
      <c r="DM27" s="175">
        <v>550</v>
      </c>
      <c r="DN27" s="175">
        <v>0.55000000000000004</v>
      </c>
      <c r="DO27" s="175">
        <v>0.60279000000000005</v>
      </c>
      <c r="DP27" s="175">
        <v>816</v>
      </c>
      <c r="DQ27" s="175">
        <v>210.441</v>
      </c>
      <c r="DR27" s="175">
        <v>2059.8353817999787</v>
      </c>
      <c r="DS27" s="175">
        <v>0</v>
      </c>
      <c r="DT27" s="175">
        <v>0</v>
      </c>
      <c r="DU27" s="175">
        <v>0</v>
      </c>
      <c r="DV27" s="175">
        <v>22</v>
      </c>
      <c r="DW27" s="175">
        <v>228.53800000000001</v>
      </c>
      <c r="DX27" s="175">
        <v>2369.09</v>
      </c>
      <c r="DY27" s="175">
        <v>20864</v>
      </c>
      <c r="DZ27" s="175">
        <v>59.781999999999996</v>
      </c>
      <c r="EA27" s="175">
        <v>988.19</v>
      </c>
      <c r="EB27" s="175">
        <v>20949</v>
      </c>
      <c r="EC27" s="175">
        <v>20.934000000000001</v>
      </c>
      <c r="ED27" s="175">
        <v>425.48</v>
      </c>
      <c r="EE27" s="175">
        <v>41835</v>
      </c>
      <c r="EF27" s="175">
        <v>309.25400000000002</v>
      </c>
      <c r="EG27" s="175">
        <v>3782.76</v>
      </c>
    </row>
    <row r="28" spans="1:137" x14ac:dyDescent="0.2">
      <c r="A28" s="170">
        <v>19</v>
      </c>
      <c r="B28" s="189" t="s">
        <v>51</v>
      </c>
      <c r="C28" s="172"/>
      <c r="D28" s="172"/>
      <c r="E28" s="172"/>
      <c r="F28" s="172"/>
      <c r="G28" s="172"/>
      <c r="H28" s="172"/>
      <c r="I28" s="172"/>
      <c r="J28" s="172"/>
      <c r="K28" s="172"/>
      <c r="L28" s="172">
        <v>66</v>
      </c>
      <c r="M28" s="172">
        <v>7.0000000000000007E-2</v>
      </c>
      <c r="N28" s="172">
        <v>1.98</v>
      </c>
      <c r="O28" s="172">
        <v>66</v>
      </c>
      <c r="P28" s="172">
        <v>6.6000000000000003E-2</v>
      </c>
      <c r="Q28" s="172">
        <v>1.98</v>
      </c>
      <c r="R28" s="174"/>
      <c r="S28" s="174"/>
      <c r="T28" s="174"/>
      <c r="U28" s="175"/>
      <c r="V28" s="175"/>
      <c r="W28" s="174"/>
      <c r="X28" s="175"/>
      <c r="Y28" s="175"/>
      <c r="Z28" s="174"/>
      <c r="AA28" s="175">
        <v>58</v>
      </c>
      <c r="AB28" s="175">
        <v>5.8000000000000003E-2</v>
      </c>
      <c r="AC28" s="174">
        <v>1.3951714000000002</v>
      </c>
      <c r="AD28" s="175">
        <v>58</v>
      </c>
      <c r="AE28" s="175">
        <v>5.8000000000000003E-2</v>
      </c>
      <c r="AF28" s="175">
        <v>1.3951714000000002</v>
      </c>
      <c r="AG28" s="176"/>
      <c r="AH28" s="176"/>
      <c r="AI28" s="176"/>
      <c r="AJ28" s="176"/>
      <c r="AK28" s="176"/>
      <c r="AL28" s="176"/>
      <c r="AM28" s="176"/>
      <c r="AN28" s="176"/>
      <c r="AO28" s="176"/>
      <c r="AP28" s="176">
        <v>84</v>
      </c>
      <c r="AQ28" s="176">
        <v>0.08</v>
      </c>
      <c r="AR28" s="176">
        <v>2</v>
      </c>
      <c r="AS28" s="176">
        <v>84</v>
      </c>
      <c r="AT28" s="176">
        <v>0.08</v>
      </c>
      <c r="AU28" s="176">
        <v>2</v>
      </c>
      <c r="AV28" s="176"/>
      <c r="AW28" s="176"/>
      <c r="AX28" s="176"/>
      <c r="AY28" s="176"/>
      <c r="AZ28" s="176"/>
      <c r="BA28" s="176"/>
      <c r="BB28" s="176">
        <v>4</v>
      </c>
      <c r="BC28" s="176">
        <v>1.2999999999999999E-2</v>
      </c>
      <c r="BD28" s="176">
        <v>0.33316000000000001</v>
      </c>
      <c r="BE28" s="176">
        <v>66</v>
      </c>
      <c r="BF28" s="176">
        <v>6.6000000000000003E-2</v>
      </c>
      <c r="BG28" s="176">
        <v>1.6911149999999999</v>
      </c>
      <c r="BH28" s="176">
        <v>70</v>
      </c>
      <c r="BI28" s="176">
        <v>7.9000000000000001E-2</v>
      </c>
      <c r="BJ28" s="176">
        <v>2.0242749999999998</v>
      </c>
      <c r="BK28" s="177">
        <v>0</v>
      </c>
      <c r="BL28" s="177">
        <v>0</v>
      </c>
      <c r="BM28" s="177">
        <v>0</v>
      </c>
      <c r="BN28" s="177">
        <v>0</v>
      </c>
      <c r="BO28" s="177">
        <v>0</v>
      </c>
      <c r="BP28" s="177">
        <v>0</v>
      </c>
      <c r="BQ28" s="177">
        <v>21</v>
      </c>
      <c r="BR28" s="177">
        <v>6.5000000000000002E-2</v>
      </c>
      <c r="BS28" s="177">
        <v>2.8690818999999999</v>
      </c>
      <c r="BT28" s="177">
        <v>123</v>
      </c>
      <c r="BU28" s="177">
        <v>0.123</v>
      </c>
      <c r="BV28" s="177">
        <v>3.9692238999999994</v>
      </c>
      <c r="BW28" s="177">
        <v>144</v>
      </c>
      <c r="BX28" s="177">
        <v>0.188</v>
      </c>
      <c r="BY28" s="177">
        <v>6.8383057999999988</v>
      </c>
      <c r="BZ28" s="178">
        <v>0</v>
      </c>
      <c r="CA28" s="178">
        <v>0</v>
      </c>
      <c r="CB28" s="178">
        <v>0</v>
      </c>
      <c r="CC28" s="178">
        <v>0</v>
      </c>
      <c r="CD28" s="178">
        <v>0</v>
      </c>
      <c r="CE28" s="178">
        <v>0</v>
      </c>
      <c r="CF28" s="178">
        <v>32</v>
      </c>
      <c r="CG28" s="178">
        <v>0.10199999999999999</v>
      </c>
      <c r="CH28" s="178">
        <v>4.9177999999999997</v>
      </c>
      <c r="CI28" s="178">
        <v>103</v>
      </c>
      <c r="CJ28" s="178">
        <v>0.10299999999999999</v>
      </c>
      <c r="CK28" s="178">
        <v>4.9981</v>
      </c>
      <c r="CL28" s="178">
        <v>135</v>
      </c>
      <c r="CM28" s="178">
        <v>0.20499999999999999</v>
      </c>
      <c r="CN28" s="178">
        <v>9.9159000000000006</v>
      </c>
      <c r="CO28" s="175">
        <v>0</v>
      </c>
      <c r="CP28" s="175">
        <v>0</v>
      </c>
      <c r="CQ28" s="175">
        <v>0</v>
      </c>
      <c r="CR28" s="175">
        <v>0</v>
      </c>
      <c r="CS28" s="175">
        <v>0</v>
      </c>
      <c r="CT28" s="175">
        <v>0</v>
      </c>
      <c r="CU28" s="175">
        <v>350</v>
      </c>
      <c r="CV28" s="175">
        <v>0.877</v>
      </c>
      <c r="CW28" s="175">
        <v>33.552959999999999</v>
      </c>
      <c r="CX28" s="175">
        <v>644</v>
      </c>
      <c r="CY28" s="175">
        <v>0.64400000000000002</v>
      </c>
      <c r="CZ28" s="175">
        <v>28.08719</v>
      </c>
      <c r="DA28" s="175">
        <v>994</v>
      </c>
      <c r="DB28" s="175">
        <v>1.5209999999999999</v>
      </c>
      <c r="DC28" s="175">
        <v>61.640149999999998</v>
      </c>
      <c r="DD28" s="175">
        <v>0</v>
      </c>
      <c r="DE28" s="175">
        <v>0</v>
      </c>
      <c r="DF28" s="175">
        <v>0</v>
      </c>
      <c r="DG28" s="175">
        <v>9</v>
      </c>
      <c r="DH28" s="175">
        <v>1.4810000000000001</v>
      </c>
      <c r="DI28" s="175">
        <v>283.2383658</v>
      </c>
      <c r="DJ28" s="175">
        <v>460</v>
      </c>
      <c r="DK28" s="175">
        <v>1.5629999999999999</v>
      </c>
      <c r="DL28" s="175">
        <v>383.15564000000001</v>
      </c>
      <c r="DM28" s="175">
        <v>2254</v>
      </c>
      <c r="DN28" s="175">
        <v>2.641</v>
      </c>
      <c r="DO28" s="175">
        <v>1253.9183700000001</v>
      </c>
      <c r="DP28" s="175">
        <v>2723</v>
      </c>
      <c r="DQ28" s="175">
        <v>5.6850000000000005</v>
      </c>
      <c r="DR28" s="175">
        <v>1920.3123758000002</v>
      </c>
      <c r="DS28" s="175">
        <v>0</v>
      </c>
      <c r="DT28" s="175">
        <v>0</v>
      </c>
      <c r="DU28" s="175">
        <v>0</v>
      </c>
      <c r="DV28" s="175">
        <v>60</v>
      </c>
      <c r="DW28" s="175">
        <v>9.5839999999999996</v>
      </c>
      <c r="DX28" s="175">
        <v>295.83895200000001</v>
      </c>
      <c r="DY28" s="175">
        <v>811</v>
      </c>
      <c r="DZ28" s="175">
        <v>2.2610000000000001</v>
      </c>
      <c r="EA28" s="175">
        <v>62.474779699999985</v>
      </c>
      <c r="EB28" s="175">
        <v>3704</v>
      </c>
      <c r="EC28" s="175">
        <v>3.7679999999999998</v>
      </c>
      <c r="ED28" s="175">
        <v>117.63552410000059</v>
      </c>
      <c r="EE28" s="175">
        <v>4575</v>
      </c>
      <c r="EF28" s="175">
        <v>15.613</v>
      </c>
      <c r="EG28" s="175">
        <v>475.94925580000057</v>
      </c>
    </row>
    <row r="29" spans="1:137" x14ac:dyDescent="0.2">
      <c r="A29" s="196">
        <v>20</v>
      </c>
      <c r="B29" s="171" t="s">
        <v>52</v>
      </c>
      <c r="C29" s="172">
        <v>70</v>
      </c>
      <c r="D29" s="172">
        <v>11194.45</v>
      </c>
      <c r="E29" s="173">
        <v>22525.58380119416</v>
      </c>
      <c r="F29" s="172">
        <v>712</v>
      </c>
      <c r="G29" s="172">
        <v>505.149</v>
      </c>
      <c r="H29" s="173">
        <v>14681.705811192</v>
      </c>
      <c r="I29" s="172">
        <v>59141</v>
      </c>
      <c r="J29" s="172">
        <v>174.39599999999999</v>
      </c>
      <c r="K29" s="173">
        <v>4441.5385875000002</v>
      </c>
      <c r="L29" s="172">
        <v>37537</v>
      </c>
      <c r="M29" s="172">
        <v>52.508000000000003</v>
      </c>
      <c r="N29" s="173">
        <v>1702.9278353</v>
      </c>
      <c r="O29" s="172">
        <v>97460</v>
      </c>
      <c r="P29" s="172">
        <v>11926.503000000001</v>
      </c>
      <c r="Q29" s="173">
        <v>43351.756035186154</v>
      </c>
      <c r="R29" s="174">
        <v>50</v>
      </c>
      <c r="S29" s="174">
        <v>17667.792999999998</v>
      </c>
      <c r="T29" s="174">
        <v>27107.371046723856</v>
      </c>
      <c r="U29" s="175">
        <v>667</v>
      </c>
      <c r="V29" s="175">
        <v>485.67500000000001</v>
      </c>
      <c r="W29" s="174">
        <v>12921.002382331</v>
      </c>
      <c r="X29" s="175">
        <v>56444</v>
      </c>
      <c r="Y29" s="175">
        <v>175.386</v>
      </c>
      <c r="Z29" s="174">
        <v>3334.7523800668196</v>
      </c>
      <c r="AA29" s="175">
        <v>27079</v>
      </c>
      <c r="AB29" s="175">
        <v>29.853000000000002</v>
      </c>
      <c r="AC29" s="174">
        <v>1344.8455921606001</v>
      </c>
      <c r="AD29" s="175">
        <v>84240</v>
      </c>
      <c r="AE29" s="175">
        <v>18358.706999999999</v>
      </c>
      <c r="AF29" s="174">
        <v>44707.971401282281</v>
      </c>
      <c r="AG29" s="176">
        <v>34</v>
      </c>
      <c r="AH29" s="176">
        <v>17074</v>
      </c>
      <c r="AI29" s="176">
        <v>25813</v>
      </c>
      <c r="AJ29" s="176">
        <v>898</v>
      </c>
      <c r="AK29" s="176">
        <v>1878</v>
      </c>
      <c r="AL29" s="176">
        <v>18321</v>
      </c>
      <c r="AM29" s="176">
        <v>52724</v>
      </c>
      <c r="AN29" s="176">
        <v>162</v>
      </c>
      <c r="AO29" s="176">
        <v>4858</v>
      </c>
      <c r="AP29" s="176">
        <v>25581</v>
      </c>
      <c r="AQ29" s="176">
        <v>27</v>
      </c>
      <c r="AR29" s="176">
        <v>1974</v>
      </c>
      <c r="AS29" s="176">
        <v>79237</v>
      </c>
      <c r="AT29" s="176">
        <v>19141</v>
      </c>
      <c r="AU29" s="176">
        <v>50966</v>
      </c>
      <c r="AV29" s="176">
        <v>46</v>
      </c>
      <c r="AW29" s="176">
        <v>6854.09</v>
      </c>
      <c r="AX29" s="176">
        <v>3075.9235141785703</v>
      </c>
      <c r="AY29" s="176">
        <v>1800</v>
      </c>
      <c r="AZ29" s="176">
        <v>1818.8549999999996</v>
      </c>
      <c r="BA29" s="176">
        <v>20366.191177908004</v>
      </c>
      <c r="BB29" s="176">
        <v>51875</v>
      </c>
      <c r="BC29" s="176">
        <v>162.292</v>
      </c>
      <c r="BD29" s="176">
        <v>5201.5589720999906</v>
      </c>
      <c r="BE29" s="176">
        <v>26904</v>
      </c>
      <c r="BF29" s="176">
        <v>29.063000000000002</v>
      </c>
      <c r="BG29" s="176">
        <v>2192.5999816000053</v>
      </c>
      <c r="BH29" s="176">
        <v>80625</v>
      </c>
      <c r="BI29" s="176">
        <v>8864.2999999999993</v>
      </c>
      <c r="BJ29" s="176">
        <v>30836.273645786569</v>
      </c>
      <c r="BK29" s="177">
        <v>14</v>
      </c>
      <c r="BL29" s="177">
        <v>21981.934000000001</v>
      </c>
      <c r="BM29" s="177">
        <v>29078.620765</v>
      </c>
      <c r="BN29" s="177">
        <v>5460</v>
      </c>
      <c r="BO29" s="177">
        <v>2346.2570000000001</v>
      </c>
      <c r="BP29" s="177">
        <v>35911.05217632898</v>
      </c>
      <c r="BQ29" s="177">
        <v>50434</v>
      </c>
      <c r="BR29" s="177">
        <v>159.364</v>
      </c>
      <c r="BS29" s="177">
        <v>5533.5627055999876</v>
      </c>
      <c r="BT29" s="177">
        <v>26226</v>
      </c>
      <c r="BU29" s="177">
        <v>28.87</v>
      </c>
      <c r="BV29" s="177">
        <v>1803.4060627000013</v>
      </c>
      <c r="BW29" s="177">
        <v>82134</v>
      </c>
      <c r="BX29" s="177">
        <v>24516.425000000003</v>
      </c>
      <c r="BY29" s="177">
        <v>72326.641709628966</v>
      </c>
      <c r="BZ29" s="178">
        <v>15</v>
      </c>
      <c r="CA29" s="178">
        <v>24333.288</v>
      </c>
      <c r="CB29" s="178">
        <v>36662.501799999998</v>
      </c>
      <c r="CC29" s="178">
        <v>5590</v>
      </c>
      <c r="CD29" s="178">
        <v>2928.299</v>
      </c>
      <c r="CE29" s="178">
        <v>55033.416956311019</v>
      </c>
      <c r="CF29" s="178">
        <v>52716</v>
      </c>
      <c r="CG29" s="178">
        <v>166.74199999999999</v>
      </c>
      <c r="CH29" s="178">
        <v>6288.1490778999914</v>
      </c>
      <c r="CI29" s="178">
        <v>33171</v>
      </c>
      <c r="CJ29" s="178">
        <v>35.61</v>
      </c>
      <c r="CK29" s="178">
        <v>2288.6325901000005</v>
      </c>
      <c r="CL29" s="178">
        <v>91492</v>
      </c>
      <c r="CM29" s="178">
        <v>27463.938999999998</v>
      </c>
      <c r="CN29" s="178">
        <v>100272.700424311</v>
      </c>
      <c r="CO29" s="175">
        <v>2</v>
      </c>
      <c r="CP29" s="175">
        <v>10746.324000000001</v>
      </c>
      <c r="CQ29" s="175">
        <v>74121.662859999997</v>
      </c>
      <c r="CR29" s="175">
        <v>4728</v>
      </c>
      <c r="CS29" s="175">
        <v>2302.6419999999998</v>
      </c>
      <c r="CT29" s="175">
        <v>51890.652711848837</v>
      </c>
      <c r="CU29" s="175">
        <v>55639</v>
      </c>
      <c r="CV29" s="175">
        <v>172.46799999999999</v>
      </c>
      <c r="CW29" s="175">
        <v>7050.7657797999982</v>
      </c>
      <c r="CX29" s="175">
        <v>39501</v>
      </c>
      <c r="CY29" s="175">
        <v>42.58</v>
      </c>
      <c r="CZ29" s="175">
        <v>2929.9798565999986</v>
      </c>
      <c r="DA29" s="175">
        <v>99870</v>
      </c>
      <c r="DB29" s="175">
        <v>13264.014000000001</v>
      </c>
      <c r="DC29" s="175">
        <v>135993.06120824881</v>
      </c>
      <c r="DD29" s="175">
        <v>1</v>
      </c>
      <c r="DE29" s="175">
        <v>2355.348</v>
      </c>
      <c r="DF29" s="175">
        <v>20102.499100000001</v>
      </c>
      <c r="DG29" s="175">
        <v>5308</v>
      </c>
      <c r="DH29" s="175">
        <v>2586.3119999999999</v>
      </c>
      <c r="DI29" s="175">
        <v>51777.619639257609</v>
      </c>
      <c r="DJ29" s="175">
        <v>74176</v>
      </c>
      <c r="DK29" s="175">
        <v>227.22300000000001</v>
      </c>
      <c r="DL29" s="175">
        <v>9707.8978446356014</v>
      </c>
      <c r="DM29" s="175">
        <v>72094</v>
      </c>
      <c r="DN29" s="175">
        <v>73.247</v>
      </c>
      <c r="DO29" s="175">
        <v>4607.2296936932471</v>
      </c>
      <c r="DP29" s="175">
        <v>151579</v>
      </c>
      <c r="DQ29" s="175">
        <v>5242.13</v>
      </c>
      <c r="DR29" s="175">
        <v>86195.24627758647</v>
      </c>
      <c r="DS29" s="175">
        <v>1</v>
      </c>
      <c r="DT29" s="175">
        <v>2094.288</v>
      </c>
      <c r="DU29" s="175">
        <v>15593.2743417</v>
      </c>
      <c r="DV29" s="175">
        <v>3921</v>
      </c>
      <c r="DW29" s="175">
        <v>1917.3589999999999</v>
      </c>
      <c r="DX29" s="175">
        <v>64171.547716290494</v>
      </c>
      <c r="DY29" s="175">
        <v>88331</v>
      </c>
      <c r="DZ29" s="175">
        <v>278.36500000000001</v>
      </c>
      <c r="EA29" s="175">
        <v>12470.775991894918</v>
      </c>
      <c r="EB29" s="175">
        <v>86712</v>
      </c>
      <c r="EC29" s="175">
        <v>88.552999999999997</v>
      </c>
      <c r="ED29" s="175">
        <v>5604.6293991000011</v>
      </c>
      <c r="EE29" s="175">
        <v>178965</v>
      </c>
      <c r="EF29" s="175">
        <v>4378.5650000000005</v>
      </c>
      <c r="EG29" s="175">
        <v>97840.227448985417</v>
      </c>
    </row>
    <row r="30" spans="1:137" x14ac:dyDescent="0.2">
      <c r="A30" s="170">
        <v>21</v>
      </c>
      <c r="B30" s="171" t="s">
        <v>53</v>
      </c>
      <c r="C30" s="172">
        <v>0</v>
      </c>
      <c r="D30" s="172">
        <v>1260.2739999999999</v>
      </c>
      <c r="E30" s="173">
        <v>4153.7209000000003</v>
      </c>
      <c r="F30" s="172">
        <v>478</v>
      </c>
      <c r="G30" s="172">
        <v>356.34100000000001</v>
      </c>
      <c r="H30" s="173">
        <v>2877.2877699999999</v>
      </c>
      <c r="I30" s="172">
        <v>66205</v>
      </c>
      <c r="J30" s="172">
        <v>185.9</v>
      </c>
      <c r="K30" s="173">
        <v>4309.41</v>
      </c>
      <c r="L30" s="172">
        <v>230174</v>
      </c>
      <c r="M30" s="172">
        <v>364.87</v>
      </c>
      <c r="N30" s="173">
        <v>10013.19</v>
      </c>
      <c r="O30" s="172">
        <v>296857</v>
      </c>
      <c r="P30" s="172">
        <v>2167.3849999999998</v>
      </c>
      <c r="Q30" s="173">
        <v>21353.608670000001</v>
      </c>
      <c r="R30" s="174">
        <v>7</v>
      </c>
      <c r="S30" s="197">
        <v>1757.32</v>
      </c>
      <c r="T30" s="174">
        <v>2117.3201199999999</v>
      </c>
      <c r="U30" s="172">
        <v>516</v>
      </c>
      <c r="V30" s="172">
        <v>702.58</v>
      </c>
      <c r="W30" s="174">
        <v>5355.6763551000004</v>
      </c>
      <c r="X30" s="172">
        <v>68010</v>
      </c>
      <c r="Y30" s="172">
        <v>189.90800000000002</v>
      </c>
      <c r="Z30" s="174">
        <v>4636.1932360000019</v>
      </c>
      <c r="AA30" s="172">
        <v>123972</v>
      </c>
      <c r="AB30" s="172">
        <v>236.107</v>
      </c>
      <c r="AC30" s="174">
        <v>8327.1179818000001</v>
      </c>
      <c r="AD30" s="175">
        <v>192505</v>
      </c>
      <c r="AE30" s="198">
        <v>2885.915</v>
      </c>
      <c r="AF30" s="174">
        <v>20436.307692900002</v>
      </c>
      <c r="AG30" s="176"/>
      <c r="AH30" s="176"/>
      <c r="AI30" s="176"/>
      <c r="AJ30" s="176">
        <v>576</v>
      </c>
      <c r="AK30" s="176">
        <v>388</v>
      </c>
      <c r="AL30" s="176">
        <v>6700</v>
      </c>
      <c r="AM30" s="176">
        <v>71419</v>
      </c>
      <c r="AN30" s="176">
        <v>184</v>
      </c>
      <c r="AO30" s="176">
        <v>5199</v>
      </c>
      <c r="AP30" s="176">
        <v>109832</v>
      </c>
      <c r="AQ30" s="176">
        <v>230</v>
      </c>
      <c r="AR30" s="176">
        <v>7757</v>
      </c>
      <c r="AS30" s="176">
        <v>181827</v>
      </c>
      <c r="AT30" s="176">
        <v>802</v>
      </c>
      <c r="AU30" s="176">
        <v>19656</v>
      </c>
      <c r="AV30" s="176"/>
      <c r="AW30" s="176"/>
      <c r="AX30" s="176"/>
      <c r="AY30" s="176">
        <v>628</v>
      </c>
      <c r="AZ30" s="176">
        <v>477.21</v>
      </c>
      <c r="BA30" s="176">
        <v>8307.73</v>
      </c>
      <c r="BB30" s="176">
        <v>77420</v>
      </c>
      <c r="BC30" s="176">
        <v>196.73</v>
      </c>
      <c r="BD30" s="176">
        <v>5784.69</v>
      </c>
      <c r="BE30" s="176">
        <v>110614</v>
      </c>
      <c r="BF30" s="176">
        <v>175.06</v>
      </c>
      <c r="BG30" s="176">
        <v>7632.26</v>
      </c>
      <c r="BH30" s="176">
        <v>188662</v>
      </c>
      <c r="BI30" s="176">
        <v>849</v>
      </c>
      <c r="BJ30" s="176">
        <v>21724.68</v>
      </c>
      <c r="BK30" s="177">
        <v>0</v>
      </c>
      <c r="BL30" s="177">
        <v>0</v>
      </c>
      <c r="BM30" s="177">
        <v>0</v>
      </c>
      <c r="BN30" s="177">
        <v>675</v>
      </c>
      <c r="BO30" s="177">
        <v>794.81899999999996</v>
      </c>
      <c r="BP30" s="177">
        <v>14862.7207425</v>
      </c>
      <c r="BQ30" s="177">
        <v>89771</v>
      </c>
      <c r="BR30" s="177">
        <v>174.90100000000001</v>
      </c>
      <c r="BS30" s="177">
        <v>7602.3743029999996</v>
      </c>
      <c r="BT30" s="177">
        <v>61583</v>
      </c>
      <c r="BU30" s="177">
        <v>111.52800000000001</v>
      </c>
      <c r="BV30" s="177">
        <v>5841.2054601999998</v>
      </c>
      <c r="BW30" s="177">
        <v>152029</v>
      </c>
      <c r="BX30" s="177">
        <v>1081.248</v>
      </c>
      <c r="BY30" s="177">
        <v>28306.300505699997</v>
      </c>
      <c r="BZ30" s="178">
        <v>0</v>
      </c>
      <c r="CA30" s="178">
        <v>0</v>
      </c>
      <c r="CB30" s="178">
        <v>0</v>
      </c>
      <c r="CC30" s="178">
        <v>717</v>
      </c>
      <c r="CD30" s="178">
        <v>1039.98</v>
      </c>
      <c r="CE30" s="178">
        <v>19642.443114099999</v>
      </c>
      <c r="CF30" s="178">
        <v>82282</v>
      </c>
      <c r="CG30" s="178">
        <v>218.934</v>
      </c>
      <c r="CH30" s="178">
        <v>8340.6990800000003</v>
      </c>
      <c r="CI30" s="178">
        <v>102451</v>
      </c>
      <c r="CJ30" s="178">
        <v>146.952</v>
      </c>
      <c r="CK30" s="178">
        <v>7563.0952399999996</v>
      </c>
      <c r="CL30" s="178">
        <v>185450</v>
      </c>
      <c r="CM30" s="178">
        <v>1405.866</v>
      </c>
      <c r="CN30" s="178">
        <v>35546.237434100003</v>
      </c>
      <c r="CO30" s="175">
        <v>0</v>
      </c>
      <c r="CP30" s="175">
        <v>0</v>
      </c>
      <c r="CQ30" s="175">
        <v>0</v>
      </c>
      <c r="CR30" s="175">
        <v>697</v>
      </c>
      <c r="CS30" s="175">
        <v>1073.6689999999999</v>
      </c>
      <c r="CT30" s="175">
        <v>21209.7201021</v>
      </c>
      <c r="CU30" s="175">
        <v>80213</v>
      </c>
      <c r="CV30" s="175">
        <v>230.256</v>
      </c>
      <c r="CW30" s="175">
        <v>9349.4530345000003</v>
      </c>
      <c r="CX30" s="175">
        <v>94767</v>
      </c>
      <c r="CY30" s="175">
        <v>143.249</v>
      </c>
      <c r="CZ30" s="175">
        <v>8900.7722661999996</v>
      </c>
      <c r="DA30" s="175">
        <v>175677</v>
      </c>
      <c r="DB30" s="175">
        <v>1447.174</v>
      </c>
      <c r="DC30" s="175">
        <v>39459.945402800004</v>
      </c>
      <c r="DD30" s="175">
        <v>0</v>
      </c>
      <c r="DE30" s="175">
        <v>0</v>
      </c>
      <c r="DF30" s="175">
        <v>0</v>
      </c>
      <c r="DG30" s="175">
        <v>650</v>
      </c>
      <c r="DH30" s="175">
        <v>682.59</v>
      </c>
      <c r="DI30" s="175">
        <v>14916.170947300001</v>
      </c>
      <c r="DJ30" s="175">
        <v>63834</v>
      </c>
      <c r="DK30" s="175">
        <v>198.42099999999999</v>
      </c>
      <c r="DL30" s="175">
        <v>8651.1946278899995</v>
      </c>
      <c r="DM30" s="175">
        <v>138701</v>
      </c>
      <c r="DN30" s="175">
        <v>185.65100000000001</v>
      </c>
      <c r="DO30" s="175">
        <v>10719.136951910003</v>
      </c>
      <c r="DP30" s="175">
        <v>203185</v>
      </c>
      <c r="DQ30" s="175">
        <v>1066.662</v>
      </c>
      <c r="DR30" s="175">
        <v>34286.502527100005</v>
      </c>
      <c r="DS30" s="175">
        <v>0</v>
      </c>
      <c r="DT30" s="175">
        <v>0</v>
      </c>
      <c r="DU30" s="175">
        <v>0</v>
      </c>
      <c r="DV30" s="175">
        <v>779</v>
      </c>
      <c r="DW30" s="175">
        <v>830.83699999999999</v>
      </c>
      <c r="DX30" s="175">
        <v>18246.204515649995</v>
      </c>
      <c r="DY30" s="175">
        <v>48642</v>
      </c>
      <c r="DZ30" s="175">
        <v>154.81</v>
      </c>
      <c r="EA30" s="175">
        <v>8928.0503317599996</v>
      </c>
      <c r="EB30" s="175">
        <v>96237</v>
      </c>
      <c r="EC30" s="175">
        <v>122.465</v>
      </c>
      <c r="ED30" s="175">
        <v>10609.396191889999</v>
      </c>
      <c r="EE30" s="175">
        <v>145658</v>
      </c>
      <c r="EF30" s="175">
        <v>1108.1120000000001</v>
      </c>
      <c r="EG30" s="175">
        <v>37783.651039299992</v>
      </c>
    </row>
    <row r="31" spans="1:137" x14ac:dyDescent="0.2">
      <c r="A31" s="196">
        <v>22</v>
      </c>
      <c r="B31" s="189" t="s">
        <v>54</v>
      </c>
      <c r="C31" s="172">
        <v>0</v>
      </c>
      <c r="D31" s="172">
        <v>0</v>
      </c>
      <c r="E31" s="173">
        <v>0</v>
      </c>
      <c r="F31" s="172">
        <v>385</v>
      </c>
      <c r="G31" s="172">
        <v>109.193</v>
      </c>
      <c r="H31" s="173">
        <v>712.67108000000007</v>
      </c>
      <c r="I31" s="172">
        <v>9603</v>
      </c>
      <c r="J31" s="172">
        <v>24.864999999999998</v>
      </c>
      <c r="K31" s="173">
        <v>523.53</v>
      </c>
      <c r="L31" s="172">
        <v>34343</v>
      </c>
      <c r="M31" s="172">
        <v>12.308999999999994</v>
      </c>
      <c r="N31" s="173">
        <v>879.92856150001512</v>
      </c>
      <c r="O31" s="172">
        <v>44331</v>
      </c>
      <c r="P31" s="172">
        <v>146.36699999999999</v>
      </c>
      <c r="Q31" s="173">
        <v>2116.1296415000152</v>
      </c>
      <c r="R31" s="174"/>
      <c r="S31" s="174"/>
      <c r="T31" s="174"/>
      <c r="U31" s="172">
        <v>908</v>
      </c>
      <c r="V31" s="172">
        <v>636.875</v>
      </c>
      <c r="W31" s="174">
        <v>9768.4501527707016</v>
      </c>
      <c r="X31" s="172">
        <v>1264</v>
      </c>
      <c r="Y31" s="172">
        <v>4.0570000000000004</v>
      </c>
      <c r="Z31" s="174">
        <v>96.773989649999905</v>
      </c>
      <c r="AA31" s="172">
        <v>3851</v>
      </c>
      <c r="AB31" s="172">
        <v>3.911</v>
      </c>
      <c r="AC31" s="174">
        <v>74.444359462999969</v>
      </c>
      <c r="AD31" s="175">
        <v>6023</v>
      </c>
      <c r="AE31" s="175">
        <v>644.84299999999996</v>
      </c>
      <c r="AF31" s="174">
        <v>9939.6685018837015</v>
      </c>
      <c r="AG31" s="176"/>
      <c r="AH31" s="176"/>
      <c r="AI31" s="176"/>
      <c r="AJ31" s="176">
        <v>3860</v>
      </c>
      <c r="AK31" s="176">
        <v>2137</v>
      </c>
      <c r="AL31" s="176">
        <v>20611</v>
      </c>
      <c r="AM31" s="176">
        <v>2649</v>
      </c>
      <c r="AN31" s="176">
        <v>16</v>
      </c>
      <c r="AO31" s="176">
        <v>238</v>
      </c>
      <c r="AP31" s="176">
        <v>20821</v>
      </c>
      <c r="AQ31" s="176">
        <v>26</v>
      </c>
      <c r="AR31" s="176">
        <v>709</v>
      </c>
      <c r="AS31" s="176">
        <v>27330</v>
      </c>
      <c r="AT31" s="176">
        <v>2179</v>
      </c>
      <c r="AU31" s="176">
        <v>21558</v>
      </c>
      <c r="AV31" s="176"/>
      <c r="AW31" s="176"/>
      <c r="AX31" s="176"/>
      <c r="AY31" s="176">
        <v>1114</v>
      </c>
      <c r="AZ31" s="176">
        <v>3893.0709999999999</v>
      </c>
      <c r="BA31" s="176">
        <v>31500.966185053258</v>
      </c>
      <c r="BB31" s="176">
        <v>15888</v>
      </c>
      <c r="BC31" s="176">
        <v>40.308999999999997</v>
      </c>
      <c r="BD31" s="176">
        <v>925.00824681606753</v>
      </c>
      <c r="BE31" s="176">
        <v>181874</v>
      </c>
      <c r="BF31" s="176">
        <v>189.75899999999999</v>
      </c>
      <c r="BG31" s="176">
        <v>4743.9634748113076</v>
      </c>
      <c r="BH31" s="176">
        <v>198876</v>
      </c>
      <c r="BI31" s="176">
        <v>4123.1390000000001</v>
      </c>
      <c r="BJ31" s="176">
        <v>37169.937906680636</v>
      </c>
      <c r="BK31" s="177">
        <v>0</v>
      </c>
      <c r="BL31" s="177">
        <v>0</v>
      </c>
      <c r="BM31" s="177">
        <v>0</v>
      </c>
      <c r="BN31" s="177">
        <v>1696</v>
      </c>
      <c r="BO31" s="177">
        <v>4698.79</v>
      </c>
      <c r="BP31" s="177">
        <v>37353.698625823337</v>
      </c>
      <c r="BQ31" s="177">
        <v>19333</v>
      </c>
      <c r="BR31" s="177">
        <v>61.857999999999997</v>
      </c>
      <c r="BS31" s="177">
        <v>1853.0566027000714</v>
      </c>
      <c r="BT31" s="177">
        <v>396371</v>
      </c>
      <c r="BU31" s="177">
        <v>427.60399999999998</v>
      </c>
      <c r="BV31" s="177">
        <v>8057.1251393192379</v>
      </c>
      <c r="BW31" s="177">
        <v>417400</v>
      </c>
      <c r="BX31" s="177">
        <v>5188.2520000000004</v>
      </c>
      <c r="BY31" s="177">
        <v>47263.880367842648</v>
      </c>
      <c r="BZ31" s="178">
        <v>0</v>
      </c>
      <c r="CA31" s="178">
        <v>0</v>
      </c>
      <c r="CB31" s="178">
        <v>0</v>
      </c>
      <c r="CC31" s="178">
        <v>1693</v>
      </c>
      <c r="CD31" s="178">
        <v>1867.2950000000001</v>
      </c>
      <c r="CE31" s="178">
        <v>33761.278664507205</v>
      </c>
      <c r="CF31" s="178">
        <v>48254</v>
      </c>
      <c r="CG31" s="178">
        <v>138.12</v>
      </c>
      <c r="CH31" s="178">
        <v>4635.6976683993544</v>
      </c>
      <c r="CI31" s="178">
        <v>706496</v>
      </c>
      <c r="CJ31" s="178">
        <v>742.47199999999998</v>
      </c>
      <c r="CK31" s="178">
        <v>12946.59974081021</v>
      </c>
      <c r="CL31" s="178">
        <v>756443</v>
      </c>
      <c r="CM31" s="178">
        <v>2747.8869999999997</v>
      </c>
      <c r="CN31" s="178">
        <v>51343.576073716773</v>
      </c>
      <c r="CO31" s="175">
        <v>0</v>
      </c>
      <c r="CP31" s="175">
        <v>0</v>
      </c>
      <c r="CQ31" s="175">
        <v>0</v>
      </c>
      <c r="CR31" s="175">
        <v>1934</v>
      </c>
      <c r="CS31" s="175">
        <v>1412.162</v>
      </c>
      <c r="CT31" s="175">
        <v>45452.543550435497</v>
      </c>
      <c r="CU31" s="175">
        <v>85036</v>
      </c>
      <c r="CV31" s="175">
        <v>256.99299999999999</v>
      </c>
      <c r="CW31" s="175">
        <v>7961.3177800000003</v>
      </c>
      <c r="CX31" s="175">
        <v>477230</v>
      </c>
      <c r="CY31" s="175">
        <v>2369.7420000000002</v>
      </c>
      <c r="CZ31" s="175">
        <v>20832.535100000001</v>
      </c>
      <c r="DA31" s="175">
        <v>564200</v>
      </c>
      <c r="DB31" s="175">
        <v>4038.8969999999999</v>
      </c>
      <c r="DC31" s="175">
        <v>74246.396430435503</v>
      </c>
      <c r="DD31" s="175">
        <v>0</v>
      </c>
      <c r="DE31" s="175">
        <v>0</v>
      </c>
      <c r="DF31" s="175">
        <v>0</v>
      </c>
      <c r="DG31" s="175">
        <v>25315</v>
      </c>
      <c r="DH31" s="175">
        <v>2601.4070000000002</v>
      </c>
      <c r="DI31" s="175">
        <v>90567.869139999995</v>
      </c>
      <c r="DJ31" s="175">
        <v>153988</v>
      </c>
      <c r="DK31" s="175">
        <v>471.86500000000001</v>
      </c>
      <c r="DL31" s="175">
        <v>13907.57201</v>
      </c>
      <c r="DM31" s="175">
        <v>458312</v>
      </c>
      <c r="DN31" s="175">
        <v>1580.8779999999999</v>
      </c>
      <c r="DO31" s="175">
        <v>21157.826649999999</v>
      </c>
      <c r="DP31" s="175">
        <v>637615</v>
      </c>
      <c r="DQ31" s="175">
        <v>4654.1499999999996</v>
      </c>
      <c r="DR31" s="175">
        <v>125633.2678</v>
      </c>
      <c r="DS31" s="175">
        <v>1</v>
      </c>
      <c r="DT31" s="175">
        <v>4412.5780000000004</v>
      </c>
      <c r="DU31" s="175">
        <v>16560.710309999999</v>
      </c>
      <c r="DV31" s="175">
        <v>4367</v>
      </c>
      <c r="DW31" s="175">
        <v>2482.9479999999999</v>
      </c>
      <c r="DX31" s="175">
        <v>126692.42453039986</v>
      </c>
      <c r="DY31" s="175">
        <v>284286</v>
      </c>
      <c r="DZ31" s="175">
        <v>876.33600000000001</v>
      </c>
      <c r="EA31" s="175">
        <v>26264.522942594842</v>
      </c>
      <c r="EB31" s="175">
        <v>343544</v>
      </c>
      <c r="EC31" s="175">
        <v>371.56200000000001</v>
      </c>
      <c r="ED31" s="175">
        <v>16949.396004600032</v>
      </c>
      <c r="EE31" s="175">
        <v>632198</v>
      </c>
      <c r="EF31" s="175">
        <v>8143.4240000000009</v>
      </c>
      <c r="EG31" s="175">
        <v>186467.05378759472</v>
      </c>
    </row>
    <row r="32" spans="1:137" x14ac:dyDescent="0.2">
      <c r="A32" s="170">
        <v>23</v>
      </c>
      <c r="B32" s="189" t="s">
        <v>55</v>
      </c>
      <c r="C32" s="172">
        <v>0</v>
      </c>
      <c r="D32" s="172">
        <v>0</v>
      </c>
      <c r="E32" s="173">
        <v>0</v>
      </c>
      <c r="F32" s="172"/>
      <c r="G32" s="172"/>
      <c r="H32" s="173"/>
      <c r="I32" s="172"/>
      <c r="J32" s="172"/>
      <c r="K32" s="173"/>
      <c r="L32" s="172"/>
      <c r="M32" s="172"/>
      <c r="N32" s="173"/>
      <c r="O32" s="172"/>
      <c r="P32" s="172"/>
      <c r="Q32" s="173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5"/>
      <c r="AE32" s="175"/>
      <c r="AF32" s="175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>
        <v>0</v>
      </c>
      <c r="BI32" s="176">
        <v>0</v>
      </c>
      <c r="BJ32" s="176">
        <v>0</v>
      </c>
      <c r="BK32" s="177">
        <v>0</v>
      </c>
      <c r="BL32" s="177">
        <v>0</v>
      </c>
      <c r="BM32" s="177">
        <v>0</v>
      </c>
      <c r="BN32" s="177">
        <v>0</v>
      </c>
      <c r="BO32" s="177">
        <v>0</v>
      </c>
      <c r="BP32" s="177">
        <v>0</v>
      </c>
      <c r="BQ32" s="177">
        <v>61</v>
      </c>
      <c r="BR32" s="177">
        <v>6.0999999999999999E-2</v>
      </c>
      <c r="BS32" s="177">
        <v>1.3704499999999999</v>
      </c>
      <c r="BT32" s="177">
        <v>0</v>
      </c>
      <c r="BU32" s="177">
        <v>0</v>
      </c>
      <c r="BV32" s="177">
        <v>0</v>
      </c>
      <c r="BW32" s="177">
        <v>61</v>
      </c>
      <c r="BX32" s="177">
        <v>6.0999999999999999E-2</v>
      </c>
      <c r="BY32" s="177">
        <v>1.3704499999999999</v>
      </c>
      <c r="BZ32" s="178">
        <v>0</v>
      </c>
      <c r="CA32" s="178">
        <v>0</v>
      </c>
      <c r="CB32" s="178">
        <v>0</v>
      </c>
      <c r="CC32" s="178">
        <v>0</v>
      </c>
      <c r="CD32" s="178">
        <v>0</v>
      </c>
      <c r="CE32" s="178">
        <v>0</v>
      </c>
      <c r="CF32" s="178">
        <v>0</v>
      </c>
      <c r="CG32" s="178">
        <v>0</v>
      </c>
      <c r="CH32" s="178">
        <v>0</v>
      </c>
      <c r="CI32" s="178">
        <v>564</v>
      </c>
      <c r="CJ32" s="178">
        <v>0.56399999999999995</v>
      </c>
      <c r="CK32" s="178">
        <v>10.65631</v>
      </c>
      <c r="CL32" s="178">
        <v>564</v>
      </c>
      <c r="CM32" s="178">
        <v>0.56399999999999995</v>
      </c>
      <c r="CN32" s="178">
        <v>10.65631</v>
      </c>
      <c r="CO32" s="175">
        <v>0</v>
      </c>
      <c r="CP32" s="175">
        <v>0</v>
      </c>
      <c r="CQ32" s="175">
        <v>0</v>
      </c>
      <c r="CR32" s="175">
        <v>39</v>
      </c>
      <c r="CS32" s="175">
        <v>0.623</v>
      </c>
      <c r="CT32" s="175">
        <v>4.6774199999999997</v>
      </c>
      <c r="CU32" s="175">
        <v>0</v>
      </c>
      <c r="CV32" s="175">
        <v>0</v>
      </c>
      <c r="CW32" s="175">
        <v>0</v>
      </c>
      <c r="CX32" s="175">
        <v>1279</v>
      </c>
      <c r="CY32" s="175">
        <v>2.0329999999999999</v>
      </c>
      <c r="CZ32" s="175">
        <v>100.70411</v>
      </c>
      <c r="DA32" s="175">
        <v>1318</v>
      </c>
      <c r="DB32" s="175">
        <v>2.6559999999999997</v>
      </c>
      <c r="DC32" s="175">
        <v>105.38153</v>
      </c>
      <c r="DD32" s="175">
        <v>0</v>
      </c>
      <c r="DE32" s="175">
        <v>0</v>
      </c>
      <c r="DF32" s="175">
        <v>0</v>
      </c>
      <c r="DG32" s="175">
        <v>17</v>
      </c>
      <c r="DH32" s="175">
        <v>0.19600000000000001</v>
      </c>
      <c r="DI32" s="175">
        <v>0.76027999999999996</v>
      </c>
      <c r="DJ32" s="175">
        <v>0</v>
      </c>
      <c r="DK32" s="175">
        <v>0</v>
      </c>
      <c r="DL32" s="175">
        <v>0</v>
      </c>
      <c r="DM32" s="175">
        <v>32202</v>
      </c>
      <c r="DN32" s="175">
        <v>34.749000000000002</v>
      </c>
      <c r="DO32" s="175">
        <v>473.29923000000002</v>
      </c>
      <c r="DP32" s="175">
        <v>32219</v>
      </c>
      <c r="DQ32" s="175">
        <v>34.945</v>
      </c>
      <c r="DR32" s="175">
        <v>474.05951000000005</v>
      </c>
      <c r="DS32" s="175">
        <v>0</v>
      </c>
      <c r="DT32" s="175">
        <v>0</v>
      </c>
      <c r="DU32" s="175">
        <v>0</v>
      </c>
      <c r="DV32" s="175">
        <v>2</v>
      </c>
      <c r="DW32" s="175">
        <v>0.21</v>
      </c>
      <c r="DX32" s="175">
        <v>0.20804</v>
      </c>
      <c r="DY32" s="175"/>
      <c r="DZ32" s="175"/>
      <c r="EA32" s="175"/>
      <c r="EB32" s="175">
        <v>42797</v>
      </c>
      <c r="EC32" s="175">
        <v>43.802</v>
      </c>
      <c r="ED32" s="175">
        <v>893.32330999999999</v>
      </c>
      <c r="EE32" s="175">
        <v>42799</v>
      </c>
      <c r="EF32" s="175">
        <v>44.012</v>
      </c>
      <c r="EG32" s="175">
        <v>893.53134999999997</v>
      </c>
    </row>
    <row r="33" spans="1:137" x14ac:dyDescent="0.2">
      <c r="A33" s="196">
        <v>24</v>
      </c>
      <c r="B33" s="171" t="s">
        <v>56</v>
      </c>
      <c r="C33" s="172">
        <v>15</v>
      </c>
      <c r="D33" s="172">
        <v>1905.3923200000002</v>
      </c>
      <c r="E33" s="173">
        <v>4791.9758212999996</v>
      </c>
      <c r="F33" s="172">
        <v>3970</v>
      </c>
      <c r="G33" s="172">
        <v>92.894000000000005</v>
      </c>
      <c r="H33" s="173">
        <v>1230.6654386101202</v>
      </c>
      <c r="I33" s="172">
        <v>46638</v>
      </c>
      <c r="J33" s="172">
        <v>154.83199999999999</v>
      </c>
      <c r="K33" s="173">
        <v>2974.7411663683201</v>
      </c>
      <c r="L33" s="172">
        <v>61582</v>
      </c>
      <c r="M33" s="172">
        <v>74.747</v>
      </c>
      <c r="N33" s="173">
        <v>2310.1175685224302</v>
      </c>
      <c r="O33" s="172">
        <v>112205</v>
      </c>
      <c r="P33" s="172">
        <v>2227.8653199999999</v>
      </c>
      <c r="Q33" s="173">
        <v>11307.49999480087</v>
      </c>
      <c r="R33" s="174">
        <v>38</v>
      </c>
      <c r="S33" s="174">
        <v>1526</v>
      </c>
      <c r="T33" s="174">
        <v>3401</v>
      </c>
      <c r="U33" s="175">
        <v>573</v>
      </c>
      <c r="V33" s="175">
        <v>331</v>
      </c>
      <c r="W33" s="175">
        <v>1929.0245349540401</v>
      </c>
      <c r="X33" s="175">
        <v>143850</v>
      </c>
      <c r="Y33" s="175">
        <v>214.39</v>
      </c>
      <c r="Z33" s="175">
        <v>4063.93</v>
      </c>
      <c r="AA33" s="175">
        <v>141177</v>
      </c>
      <c r="AB33" s="175">
        <v>88.9</v>
      </c>
      <c r="AC33" s="175">
        <v>2371</v>
      </c>
      <c r="AD33" s="175">
        <v>285638</v>
      </c>
      <c r="AE33" s="175">
        <v>2160.29</v>
      </c>
      <c r="AF33" s="175">
        <v>11764.95453495404</v>
      </c>
      <c r="AG33" s="176">
        <v>10</v>
      </c>
      <c r="AH33" s="176">
        <v>1526</v>
      </c>
      <c r="AI33" s="176">
        <v>3567</v>
      </c>
      <c r="AJ33" s="176">
        <v>1574</v>
      </c>
      <c r="AK33" s="176">
        <v>423</v>
      </c>
      <c r="AL33" s="176">
        <v>3543</v>
      </c>
      <c r="AM33" s="176">
        <v>102745</v>
      </c>
      <c r="AN33" s="176">
        <v>224</v>
      </c>
      <c r="AO33" s="176">
        <v>4092</v>
      </c>
      <c r="AP33" s="176">
        <v>38762</v>
      </c>
      <c r="AQ33" s="176">
        <v>56</v>
      </c>
      <c r="AR33" s="176">
        <v>4828</v>
      </c>
      <c r="AS33" s="176">
        <v>143091</v>
      </c>
      <c r="AT33" s="176">
        <v>2229</v>
      </c>
      <c r="AU33" s="176">
        <v>16030</v>
      </c>
      <c r="AV33" s="176">
        <v>5</v>
      </c>
      <c r="AW33" s="176">
        <v>364.00700000000001</v>
      </c>
      <c r="AX33" s="176">
        <v>175.93622999999999</v>
      </c>
      <c r="AY33" s="176">
        <v>2330</v>
      </c>
      <c r="AZ33" s="176">
        <v>294.923</v>
      </c>
      <c r="BA33" s="176">
        <v>3536.2033665056829</v>
      </c>
      <c r="BB33" s="176">
        <v>46311</v>
      </c>
      <c r="BC33" s="176">
        <v>141.25</v>
      </c>
      <c r="BD33" s="176">
        <v>4525.0640635000009</v>
      </c>
      <c r="BE33" s="176">
        <v>112144</v>
      </c>
      <c r="BF33" s="176">
        <v>141.34100000000001</v>
      </c>
      <c r="BG33" s="176">
        <v>10620.267878876601</v>
      </c>
      <c r="BH33" s="176">
        <v>160790</v>
      </c>
      <c r="BI33" s="176">
        <v>941.52100000000007</v>
      </c>
      <c r="BJ33" s="176">
        <v>18857.471538882284</v>
      </c>
      <c r="BK33" s="177">
        <v>0</v>
      </c>
      <c r="BL33" s="177">
        <v>0</v>
      </c>
      <c r="BM33" s="177">
        <v>0</v>
      </c>
      <c r="BN33" s="177">
        <v>45324</v>
      </c>
      <c r="BO33" s="177">
        <v>527.22699999999998</v>
      </c>
      <c r="BP33" s="177">
        <v>30857.383101993099</v>
      </c>
      <c r="BQ33" s="177">
        <v>50815</v>
      </c>
      <c r="BR33" s="177">
        <v>157.60900000000001</v>
      </c>
      <c r="BS33" s="177">
        <v>5069.0767576000489</v>
      </c>
      <c r="BT33" s="177">
        <v>114171</v>
      </c>
      <c r="BU33" s="177">
        <v>140.00700000000001</v>
      </c>
      <c r="BV33" s="177">
        <v>7350.1868679378285</v>
      </c>
      <c r="BW33" s="177">
        <v>210310</v>
      </c>
      <c r="BX33" s="177">
        <v>824.84300000000007</v>
      </c>
      <c r="BY33" s="177">
        <v>43276.646727530977</v>
      </c>
      <c r="BZ33" s="178">
        <v>0</v>
      </c>
      <c r="CA33" s="178">
        <v>0</v>
      </c>
      <c r="CB33" s="178">
        <v>0</v>
      </c>
      <c r="CC33" s="178">
        <v>34949</v>
      </c>
      <c r="CD33" s="178">
        <v>1911.914</v>
      </c>
      <c r="CE33" s="178">
        <v>65378.151402550728</v>
      </c>
      <c r="CF33" s="178">
        <v>62426</v>
      </c>
      <c r="CG33" s="178">
        <v>192.476</v>
      </c>
      <c r="CH33" s="178">
        <v>7346.5006890000786</v>
      </c>
      <c r="CI33" s="178">
        <v>123208</v>
      </c>
      <c r="CJ33" s="178">
        <v>143.702</v>
      </c>
      <c r="CK33" s="178">
        <v>7651.5372654999919</v>
      </c>
      <c r="CL33" s="178">
        <v>220583</v>
      </c>
      <c r="CM33" s="178">
        <v>2248.0919999999996</v>
      </c>
      <c r="CN33" s="178">
        <v>80376.189357050796</v>
      </c>
      <c r="CO33" s="175">
        <v>0</v>
      </c>
      <c r="CP33" s="175">
        <v>0</v>
      </c>
      <c r="CQ33" s="175">
        <v>0</v>
      </c>
      <c r="CR33" s="175">
        <v>11446</v>
      </c>
      <c r="CS33" s="175">
        <v>3019.9550000000013</v>
      </c>
      <c r="CT33" s="175">
        <v>65955.951228999998</v>
      </c>
      <c r="CU33" s="175">
        <v>63555</v>
      </c>
      <c r="CV33" s="175">
        <v>184.75200000000001</v>
      </c>
      <c r="CW33" s="175">
        <v>9492.0218542000057</v>
      </c>
      <c r="CX33" s="175">
        <v>93793</v>
      </c>
      <c r="CY33" s="175">
        <v>104.667</v>
      </c>
      <c r="CZ33" s="175">
        <v>8093.9264225999568</v>
      </c>
      <c r="DA33" s="175">
        <v>168794</v>
      </c>
      <c r="DB33" s="175">
        <v>3309.3740000000012</v>
      </c>
      <c r="DC33" s="175">
        <v>83541.899505799956</v>
      </c>
      <c r="DD33" s="175">
        <v>0</v>
      </c>
      <c r="DE33" s="175">
        <v>0</v>
      </c>
      <c r="DF33" s="175">
        <v>0</v>
      </c>
      <c r="DG33" s="175">
        <v>3518</v>
      </c>
      <c r="DH33" s="175">
        <v>3675.9789999999998</v>
      </c>
      <c r="DI33" s="175">
        <v>75452.796200499986</v>
      </c>
      <c r="DJ33" s="175">
        <v>107131</v>
      </c>
      <c r="DK33" s="175">
        <v>333.64699999999999</v>
      </c>
      <c r="DL33" s="175">
        <v>19265.93278519993</v>
      </c>
      <c r="DM33" s="175">
        <v>155588</v>
      </c>
      <c r="DN33" s="175">
        <v>184.578</v>
      </c>
      <c r="DO33" s="175">
        <v>12297.239478200092</v>
      </c>
      <c r="DP33" s="175">
        <v>266237</v>
      </c>
      <c r="DQ33" s="175">
        <v>4194.2039999999997</v>
      </c>
      <c r="DR33" s="175">
        <v>107015.9684639</v>
      </c>
      <c r="DS33" s="175">
        <v>0</v>
      </c>
      <c r="DT33" s="175">
        <v>0</v>
      </c>
      <c r="DU33" s="175">
        <v>0</v>
      </c>
      <c r="DV33" s="175">
        <v>4621</v>
      </c>
      <c r="DW33" s="175">
        <v>3735.123</v>
      </c>
      <c r="DX33" s="175">
        <v>94352.389460499951</v>
      </c>
      <c r="DY33" s="175">
        <v>173986</v>
      </c>
      <c r="DZ33" s="175">
        <v>536.58699999999999</v>
      </c>
      <c r="EA33" s="175">
        <v>34595.735242698371</v>
      </c>
      <c r="EB33" s="175">
        <v>146365</v>
      </c>
      <c r="EC33" s="175">
        <v>159.55199999999999</v>
      </c>
      <c r="ED33" s="175">
        <v>14287.562116699903</v>
      </c>
      <c r="EE33" s="175">
        <v>324972</v>
      </c>
      <c r="EF33" s="175">
        <v>4431.2619999999997</v>
      </c>
      <c r="EG33" s="175">
        <v>143235.68681989823</v>
      </c>
    </row>
    <row r="34" spans="1:137" x14ac:dyDescent="0.2">
      <c r="A34" s="196">
        <v>25</v>
      </c>
      <c r="B34" s="171" t="s">
        <v>57</v>
      </c>
      <c r="C34" s="172"/>
      <c r="D34" s="172"/>
      <c r="E34" s="173"/>
      <c r="F34" s="172">
        <v>2106</v>
      </c>
      <c r="G34" s="172">
        <v>446.8</v>
      </c>
      <c r="H34" s="173">
        <v>4843.9761799999997</v>
      </c>
      <c r="I34" s="172">
        <v>102244</v>
      </c>
      <c r="J34" s="172">
        <v>580.01800000000003</v>
      </c>
      <c r="K34" s="173">
        <v>3477.5002199999999</v>
      </c>
      <c r="L34" s="172">
        <v>32694</v>
      </c>
      <c r="M34" s="172">
        <v>34.542000000000002</v>
      </c>
      <c r="N34" s="173">
        <v>347.70141000000001</v>
      </c>
      <c r="O34" s="172">
        <v>137044</v>
      </c>
      <c r="P34" s="172">
        <v>1061.3599999999999</v>
      </c>
      <c r="Q34" s="173">
        <v>8669.1778099999992</v>
      </c>
      <c r="R34" s="174"/>
      <c r="S34" s="174"/>
      <c r="T34" s="174"/>
      <c r="U34" s="175">
        <v>3801</v>
      </c>
      <c r="V34" s="175">
        <v>900.38800000000003</v>
      </c>
      <c r="W34" s="174">
        <v>7629.2450399999998</v>
      </c>
      <c r="X34" s="175">
        <v>158001</v>
      </c>
      <c r="Y34" s="175">
        <v>892.04499999999996</v>
      </c>
      <c r="Z34" s="174">
        <v>5387.4435000000003</v>
      </c>
      <c r="AA34" s="175">
        <v>20606</v>
      </c>
      <c r="AB34" s="175">
        <v>21.763999999999999</v>
      </c>
      <c r="AC34" s="174">
        <v>255.81035</v>
      </c>
      <c r="AD34" s="175">
        <v>182408</v>
      </c>
      <c r="AE34" s="175">
        <v>1814.1969999999999</v>
      </c>
      <c r="AF34" s="174">
        <v>13272.498889999999</v>
      </c>
      <c r="AG34" s="176"/>
      <c r="AH34" s="176"/>
      <c r="AI34" s="176"/>
      <c r="AJ34" s="176">
        <v>3873</v>
      </c>
      <c r="AK34" s="176">
        <v>762</v>
      </c>
      <c r="AL34" s="176">
        <v>7184</v>
      </c>
      <c r="AM34" s="176">
        <v>170328</v>
      </c>
      <c r="AN34" s="176">
        <v>369</v>
      </c>
      <c r="AO34" s="176">
        <v>6158</v>
      </c>
      <c r="AP34" s="176">
        <v>684</v>
      </c>
      <c r="AQ34" s="176">
        <v>1</v>
      </c>
      <c r="AR34" s="176">
        <v>14</v>
      </c>
      <c r="AS34" s="176">
        <v>174885</v>
      </c>
      <c r="AT34" s="176">
        <v>1132</v>
      </c>
      <c r="AU34" s="176">
        <v>13356</v>
      </c>
      <c r="AV34" s="176"/>
      <c r="AW34" s="176"/>
      <c r="AX34" s="176"/>
      <c r="AY34" s="176">
        <v>2346</v>
      </c>
      <c r="AZ34" s="176">
        <v>228.83700000000002</v>
      </c>
      <c r="BA34" s="176">
        <v>3007.1083400000002</v>
      </c>
      <c r="BB34" s="176">
        <v>160231</v>
      </c>
      <c r="BC34" s="176">
        <v>684.49</v>
      </c>
      <c r="BD34" s="176">
        <v>6056.9408400000002</v>
      </c>
      <c r="BE34" s="176"/>
      <c r="BF34" s="176"/>
      <c r="BG34" s="176"/>
      <c r="BH34" s="176">
        <v>162577</v>
      </c>
      <c r="BI34" s="176">
        <v>913.327</v>
      </c>
      <c r="BJ34" s="176">
        <v>9064.04918</v>
      </c>
      <c r="BK34" s="177">
        <v>0</v>
      </c>
      <c r="BL34" s="177">
        <v>0</v>
      </c>
      <c r="BM34" s="177">
        <v>0</v>
      </c>
      <c r="BN34" s="177">
        <v>1566</v>
      </c>
      <c r="BO34" s="177">
        <v>208.71299999999999</v>
      </c>
      <c r="BP34" s="177">
        <v>2385.88382</v>
      </c>
      <c r="BQ34" s="177">
        <v>213223</v>
      </c>
      <c r="BR34" s="177">
        <v>806.625</v>
      </c>
      <c r="BS34" s="177">
        <v>7675.0983200000001</v>
      </c>
      <c r="BT34" s="177">
        <v>0</v>
      </c>
      <c r="BU34" s="177">
        <v>0</v>
      </c>
      <c r="BV34" s="177">
        <v>0</v>
      </c>
      <c r="BW34" s="177">
        <v>214789</v>
      </c>
      <c r="BX34" s="177">
        <v>1015.338</v>
      </c>
      <c r="BY34" s="177">
        <v>10060.98214</v>
      </c>
      <c r="BZ34" s="178">
        <v>0</v>
      </c>
      <c r="CA34" s="178">
        <v>0</v>
      </c>
      <c r="CB34" s="178">
        <v>0</v>
      </c>
      <c r="CC34" s="178">
        <v>274</v>
      </c>
      <c r="CD34" s="178">
        <v>298.80500000000001</v>
      </c>
      <c r="CE34" s="178">
        <v>4096.8980199999996</v>
      </c>
      <c r="CF34" s="178">
        <v>266947</v>
      </c>
      <c r="CG34" s="178">
        <v>838.58699999999999</v>
      </c>
      <c r="CH34" s="178">
        <v>9381.6473100000003</v>
      </c>
      <c r="CI34" s="178">
        <v>0</v>
      </c>
      <c r="CJ34" s="178">
        <v>0</v>
      </c>
      <c r="CK34" s="178">
        <v>0</v>
      </c>
      <c r="CL34" s="178">
        <v>267221</v>
      </c>
      <c r="CM34" s="178">
        <v>1137.3920000000001</v>
      </c>
      <c r="CN34" s="178">
        <v>13478.545330000001</v>
      </c>
      <c r="CO34" s="175">
        <v>0</v>
      </c>
      <c r="CP34" s="175">
        <v>0</v>
      </c>
      <c r="CQ34" s="175">
        <v>0</v>
      </c>
      <c r="CR34" s="175">
        <v>232</v>
      </c>
      <c r="CS34" s="175">
        <v>726.26099999999997</v>
      </c>
      <c r="CT34" s="175">
        <v>5879.39095</v>
      </c>
      <c r="CU34" s="175">
        <v>244739</v>
      </c>
      <c r="CV34" s="175">
        <v>659.93799999999999</v>
      </c>
      <c r="CW34" s="175">
        <v>10167.70076</v>
      </c>
      <c r="CX34" s="175">
        <v>0</v>
      </c>
      <c r="CY34" s="175">
        <v>0</v>
      </c>
      <c r="CZ34" s="175">
        <v>0</v>
      </c>
      <c r="DA34" s="175">
        <v>244971</v>
      </c>
      <c r="DB34" s="175">
        <v>1386.1990000000001</v>
      </c>
      <c r="DC34" s="175">
        <v>16047.091710000001</v>
      </c>
      <c r="DD34" s="175">
        <v>0</v>
      </c>
      <c r="DE34" s="175">
        <v>0</v>
      </c>
      <c r="DF34" s="175">
        <v>0</v>
      </c>
      <c r="DG34" s="175">
        <v>1594</v>
      </c>
      <c r="DH34" s="175">
        <v>1840.674</v>
      </c>
      <c r="DI34" s="175">
        <v>12737.081749999999</v>
      </c>
      <c r="DJ34" s="175">
        <v>273776</v>
      </c>
      <c r="DK34" s="175">
        <v>584.64800000000002</v>
      </c>
      <c r="DL34" s="175">
        <v>11745.73913</v>
      </c>
      <c r="DM34" s="175">
        <v>0</v>
      </c>
      <c r="DN34" s="175">
        <v>0</v>
      </c>
      <c r="DO34" s="175">
        <v>0</v>
      </c>
      <c r="DP34" s="175">
        <v>275370</v>
      </c>
      <c r="DQ34" s="175">
        <v>2425.3220000000001</v>
      </c>
      <c r="DR34" s="175">
        <v>24482.820879999999</v>
      </c>
      <c r="DS34" s="175">
        <v>0</v>
      </c>
      <c r="DT34" s="175">
        <v>0</v>
      </c>
      <c r="DU34" s="175">
        <v>0</v>
      </c>
      <c r="DV34" s="175">
        <v>10529</v>
      </c>
      <c r="DW34" s="175">
        <v>4703.5450000000001</v>
      </c>
      <c r="DX34" s="175">
        <v>13223.161770000001</v>
      </c>
      <c r="DY34" s="175">
        <v>185917</v>
      </c>
      <c r="DZ34" s="175">
        <v>487.07799999999997</v>
      </c>
      <c r="EA34" s="175">
        <v>11607.9626088</v>
      </c>
      <c r="EB34" s="175"/>
      <c r="EC34" s="175"/>
      <c r="ED34" s="175"/>
      <c r="EE34" s="175">
        <v>196446</v>
      </c>
      <c r="EF34" s="175">
        <v>5190.6229999999996</v>
      </c>
      <c r="EG34" s="175">
        <v>24831.124378799999</v>
      </c>
    </row>
    <row r="35" spans="1:137" s="134" customFormat="1" x14ac:dyDescent="0.2">
      <c r="A35" s="179"/>
      <c r="B35" s="180" t="s">
        <v>58</v>
      </c>
      <c r="C35" s="182">
        <v>278</v>
      </c>
      <c r="D35" s="182">
        <v>41251.163299468593</v>
      </c>
      <c r="E35" s="182">
        <v>76311.527204501006</v>
      </c>
      <c r="F35" s="182">
        <v>23632</v>
      </c>
      <c r="G35" s="182">
        <v>9550.5709999999981</v>
      </c>
      <c r="H35" s="182">
        <v>215716.25858780177</v>
      </c>
      <c r="I35" s="182">
        <v>1055939</v>
      </c>
      <c r="J35" s="182">
        <v>3204.9769999999999</v>
      </c>
      <c r="K35" s="182">
        <v>69438.958837387734</v>
      </c>
      <c r="L35" s="182">
        <v>1290895</v>
      </c>
      <c r="M35" s="182">
        <v>1467.4970000000001</v>
      </c>
      <c r="N35" s="182">
        <v>86710.935191230077</v>
      </c>
      <c r="O35" s="182">
        <v>2370744</v>
      </c>
      <c r="P35" s="182">
        <v>55474.208299468599</v>
      </c>
      <c r="Q35" s="182">
        <v>448177.67982092069</v>
      </c>
      <c r="R35" s="199">
        <f t="shared" ref="R35:AF35" si="1">SUM(R14:R34)</f>
        <v>265</v>
      </c>
      <c r="S35" s="199">
        <f t="shared" si="1"/>
        <v>48061.157924614708</v>
      </c>
      <c r="T35" s="199">
        <f t="shared" si="1"/>
        <v>58984.259790923861</v>
      </c>
      <c r="U35" s="199">
        <f t="shared" si="1"/>
        <v>25536</v>
      </c>
      <c r="V35" s="199">
        <f t="shared" si="1"/>
        <v>9902.866</v>
      </c>
      <c r="W35" s="199">
        <f t="shared" si="1"/>
        <v>192039.30374132379</v>
      </c>
      <c r="X35" s="199">
        <f t="shared" si="1"/>
        <v>1105822</v>
      </c>
      <c r="Y35" s="199">
        <f t="shared" si="1"/>
        <v>3197.7370000000001</v>
      </c>
      <c r="Z35" s="199">
        <f t="shared" si="1"/>
        <v>74891.365280991187</v>
      </c>
      <c r="AA35" s="199">
        <f t="shared" si="1"/>
        <v>1437632</v>
      </c>
      <c r="AB35" s="199">
        <f t="shared" si="1"/>
        <v>1840.3130000000003</v>
      </c>
      <c r="AC35" s="199">
        <f t="shared" si="1"/>
        <v>112699.84626855397</v>
      </c>
      <c r="AD35" s="199">
        <f t="shared" si="1"/>
        <v>2569255</v>
      </c>
      <c r="AE35" s="199">
        <f t="shared" si="1"/>
        <v>63002.073924614706</v>
      </c>
      <c r="AF35" s="199">
        <f t="shared" si="1"/>
        <v>438614.77508179279</v>
      </c>
      <c r="AG35" s="185">
        <v>141</v>
      </c>
      <c r="AH35" s="185">
        <v>49552</v>
      </c>
      <c r="AI35" s="185">
        <v>42841</v>
      </c>
      <c r="AJ35" s="185">
        <v>32910</v>
      </c>
      <c r="AK35" s="185">
        <v>13608</v>
      </c>
      <c r="AL35" s="185">
        <v>233304</v>
      </c>
      <c r="AM35" s="185">
        <v>1030217</v>
      </c>
      <c r="AN35" s="185">
        <v>2839</v>
      </c>
      <c r="AO35" s="185">
        <v>83162</v>
      </c>
      <c r="AP35" s="185">
        <v>1552206</v>
      </c>
      <c r="AQ35" s="185">
        <v>1940</v>
      </c>
      <c r="AR35" s="185">
        <v>131827</v>
      </c>
      <c r="AS35" s="185">
        <v>2615474</v>
      </c>
      <c r="AT35" s="185">
        <v>67938</v>
      </c>
      <c r="AU35" s="185">
        <v>491134</v>
      </c>
      <c r="AV35" s="176">
        <v>103</v>
      </c>
      <c r="AW35" s="176">
        <v>54776.883999999998</v>
      </c>
      <c r="AX35" s="176">
        <v>41027.531027278565</v>
      </c>
      <c r="AY35" s="176">
        <v>46049</v>
      </c>
      <c r="AZ35" s="176">
        <v>14801.876999999999</v>
      </c>
      <c r="BA35" s="176">
        <v>260219.45521516693</v>
      </c>
      <c r="BB35" s="176">
        <v>1192075</v>
      </c>
      <c r="BC35" s="176">
        <v>3563.0370000000003</v>
      </c>
      <c r="BD35" s="176">
        <v>104938.78173480098</v>
      </c>
      <c r="BE35" s="176">
        <v>1780093</v>
      </c>
      <c r="BF35" s="176">
        <v>2212.7120000000004</v>
      </c>
      <c r="BG35" s="176">
        <v>157056.29779885797</v>
      </c>
      <c r="BH35" s="176">
        <v>3018320</v>
      </c>
      <c r="BI35" s="176">
        <v>75354.50999999998</v>
      </c>
      <c r="BJ35" s="176">
        <v>563242.06577610446</v>
      </c>
      <c r="BK35" s="186">
        <v>24</v>
      </c>
      <c r="BL35" s="186">
        <v>59688.965000000004</v>
      </c>
      <c r="BM35" s="186">
        <v>47336.6740431</v>
      </c>
      <c r="BN35" s="186">
        <v>179169</v>
      </c>
      <c r="BO35" s="186">
        <v>20640.237999999994</v>
      </c>
      <c r="BP35" s="186">
        <v>410452.92067191406</v>
      </c>
      <c r="BQ35" s="186">
        <v>1410831</v>
      </c>
      <c r="BR35" s="186">
        <v>3930.0162000000005</v>
      </c>
      <c r="BS35" s="186">
        <v>127525.71660828558</v>
      </c>
      <c r="BT35" s="186">
        <v>2132381</v>
      </c>
      <c r="BU35" s="186">
        <v>2501.5108</v>
      </c>
      <c r="BV35" s="186">
        <v>183619.45940696972</v>
      </c>
      <c r="BW35" s="186">
        <v>3722405</v>
      </c>
      <c r="BX35" s="186">
        <v>86760.73</v>
      </c>
      <c r="BY35" s="186">
        <v>768934.77073026937</v>
      </c>
      <c r="BZ35" s="187">
        <v>97</v>
      </c>
      <c r="CA35" s="187">
        <v>79788.974000000002</v>
      </c>
      <c r="CB35" s="187">
        <v>90515.628830000001</v>
      </c>
      <c r="CC35" s="187">
        <v>647046</v>
      </c>
      <c r="CD35" s="187">
        <v>24681.822000000004</v>
      </c>
      <c r="CE35" s="187">
        <v>662244.17834440991</v>
      </c>
      <c r="CF35" s="187">
        <v>1846945</v>
      </c>
      <c r="CG35" s="187">
        <v>4898.0139999999992</v>
      </c>
      <c r="CH35" s="187">
        <v>176441.09714643745</v>
      </c>
      <c r="CI35" s="187">
        <v>5741334</v>
      </c>
      <c r="CJ35" s="187">
        <v>7109.39</v>
      </c>
      <c r="CK35" s="187">
        <v>136308.43254801017</v>
      </c>
      <c r="CL35" s="187">
        <v>8235422</v>
      </c>
      <c r="CM35" s="187">
        <v>116478.20000000001</v>
      </c>
      <c r="CN35" s="187">
        <v>1065509.3368688575</v>
      </c>
      <c r="CO35" s="184">
        <v>88</v>
      </c>
      <c r="CP35" s="184">
        <v>71169.392999999996</v>
      </c>
      <c r="CQ35" s="184">
        <v>129921.06380820001</v>
      </c>
      <c r="CR35" s="184">
        <v>341478</v>
      </c>
      <c r="CS35" s="184">
        <v>38594.115999999995</v>
      </c>
      <c r="CT35" s="184">
        <v>793217.47207978438</v>
      </c>
      <c r="CU35" s="184">
        <v>2026006</v>
      </c>
      <c r="CV35" s="184">
        <v>5787.2310000000007</v>
      </c>
      <c r="CW35" s="184">
        <v>211265.19924822025</v>
      </c>
      <c r="CX35" s="184">
        <v>2194509</v>
      </c>
      <c r="CY35" s="184">
        <v>4701.2080000000005</v>
      </c>
      <c r="CZ35" s="184">
        <v>104668.40985821951</v>
      </c>
      <c r="DA35" s="184">
        <v>4562081</v>
      </c>
      <c r="DB35" s="184">
        <v>120251.94799999999</v>
      </c>
      <c r="DC35" s="184">
        <v>1239072.1449944242</v>
      </c>
      <c r="DD35" s="184">
        <v>4</v>
      </c>
      <c r="DE35" s="184">
        <v>28216.262999999999</v>
      </c>
      <c r="DF35" s="184">
        <v>63954.115620000004</v>
      </c>
      <c r="DG35" s="184">
        <v>567061</v>
      </c>
      <c r="DH35" s="184">
        <v>51401.104999999996</v>
      </c>
      <c r="DI35" s="184">
        <v>911957.71429420996</v>
      </c>
      <c r="DJ35" s="184">
        <v>3114821</v>
      </c>
      <c r="DK35" s="184">
        <v>9024.2820000000011</v>
      </c>
      <c r="DL35" s="184">
        <v>359145.66706690751</v>
      </c>
      <c r="DM35" s="184">
        <v>3801317</v>
      </c>
      <c r="DN35" s="184">
        <v>6508.5519999999997</v>
      </c>
      <c r="DO35" s="184">
        <v>252451.95876346825</v>
      </c>
      <c r="DP35" s="184">
        <v>7483203</v>
      </c>
      <c r="DQ35" s="184">
        <v>95150.20199999999</v>
      </c>
      <c r="DR35" s="184">
        <v>1587509.4557445857</v>
      </c>
      <c r="DS35" s="184">
        <v>7</v>
      </c>
      <c r="DT35" s="184">
        <v>34977.188999999998</v>
      </c>
      <c r="DU35" s="184">
        <v>150250.84145169996</v>
      </c>
      <c r="DV35" s="184">
        <v>428596</v>
      </c>
      <c r="DW35" s="184">
        <v>63959.732999999993</v>
      </c>
      <c r="DX35" s="184">
        <v>1174403.0057921649</v>
      </c>
      <c r="DY35" s="184">
        <v>3327513</v>
      </c>
      <c r="DZ35" s="184">
        <v>9590.35</v>
      </c>
      <c r="EA35" s="184">
        <v>465197.31791218644</v>
      </c>
      <c r="EB35" s="184">
        <v>2796246</v>
      </c>
      <c r="EC35" s="184">
        <v>3418.7780000000002</v>
      </c>
      <c r="ED35" s="184">
        <v>220871.79562356923</v>
      </c>
      <c r="EE35" s="184">
        <v>6552362</v>
      </c>
      <c r="EF35" s="184">
        <v>111946.04999999999</v>
      </c>
      <c r="EG35" s="184">
        <v>2010722.9607796208</v>
      </c>
    </row>
    <row r="36" spans="1:137" s="134" customFormat="1" x14ac:dyDescent="0.2">
      <c r="A36" s="27"/>
      <c r="B36" s="162" t="s">
        <v>59</v>
      </c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4"/>
      <c r="CP36" s="184"/>
      <c r="CQ36" s="184"/>
      <c r="CR36" s="184"/>
      <c r="CS36" s="184"/>
      <c r="CT36" s="184"/>
      <c r="CU36" s="184"/>
      <c r="CV36" s="184"/>
      <c r="CW36" s="184"/>
      <c r="CX36" s="184"/>
      <c r="CY36" s="184"/>
      <c r="CZ36" s="184"/>
      <c r="DA36" s="184"/>
      <c r="DB36" s="184"/>
      <c r="DC36" s="184"/>
      <c r="DD36" s="184"/>
      <c r="DE36" s="184"/>
      <c r="DF36" s="184"/>
      <c r="DG36" s="184"/>
      <c r="DH36" s="184"/>
      <c r="DI36" s="184"/>
      <c r="DJ36" s="184"/>
      <c r="DK36" s="184"/>
      <c r="DL36" s="184"/>
      <c r="DM36" s="184"/>
      <c r="DN36" s="184"/>
      <c r="DO36" s="184"/>
      <c r="DP36" s="184"/>
      <c r="DQ36" s="184"/>
      <c r="DR36" s="184"/>
      <c r="DS36" s="184"/>
      <c r="DT36" s="184"/>
      <c r="DU36" s="184"/>
      <c r="DV36" s="184"/>
      <c r="DW36" s="184"/>
      <c r="DX36" s="184"/>
      <c r="DY36" s="184"/>
      <c r="DZ36" s="184"/>
      <c r="EA36" s="184"/>
      <c r="EB36" s="184"/>
      <c r="EC36" s="184"/>
      <c r="ED36" s="184"/>
      <c r="EE36" s="184"/>
      <c r="EF36" s="184"/>
      <c r="EG36" s="184"/>
    </row>
    <row r="37" spans="1:137" x14ac:dyDescent="0.2">
      <c r="A37" s="200">
        <v>26</v>
      </c>
      <c r="B37" s="194" t="s">
        <v>60</v>
      </c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76"/>
      <c r="AW37" s="176"/>
      <c r="AX37" s="176"/>
      <c r="AY37" s="176">
        <v>169</v>
      </c>
      <c r="AZ37" s="176">
        <v>185.16300000000001</v>
      </c>
      <c r="BA37" s="176">
        <v>5013.116169982336</v>
      </c>
      <c r="BB37" s="176">
        <v>1301</v>
      </c>
      <c r="BC37" s="176">
        <v>4.04</v>
      </c>
      <c r="BD37" s="176">
        <v>179.66029455652165</v>
      </c>
      <c r="BE37" s="176">
        <v>952</v>
      </c>
      <c r="BF37" s="176">
        <v>1.0329999999999999</v>
      </c>
      <c r="BG37" s="176">
        <v>115.08252970000004</v>
      </c>
      <c r="BH37" s="176">
        <v>2422</v>
      </c>
      <c r="BI37" s="176">
        <v>190.23599999999999</v>
      </c>
      <c r="BJ37" s="176">
        <v>5307.858994238858</v>
      </c>
      <c r="BK37" s="177">
        <v>0</v>
      </c>
      <c r="BL37" s="177">
        <v>0</v>
      </c>
      <c r="BM37" s="177">
        <v>0</v>
      </c>
      <c r="BN37" s="177">
        <v>1477</v>
      </c>
      <c r="BO37" s="177">
        <v>587.57799999999997</v>
      </c>
      <c r="BP37" s="177">
        <v>15346.359054565635</v>
      </c>
      <c r="BQ37" s="177">
        <v>33505</v>
      </c>
      <c r="BR37" s="177">
        <v>105.426</v>
      </c>
      <c r="BS37" s="177">
        <v>4629.9302650179907</v>
      </c>
      <c r="BT37" s="177">
        <v>40632</v>
      </c>
      <c r="BU37" s="177">
        <v>45.934000000000005</v>
      </c>
      <c r="BV37" s="177">
        <v>3061.4043489690062</v>
      </c>
      <c r="BW37" s="177">
        <v>75614</v>
      </c>
      <c r="BX37" s="177">
        <v>738.93799999999999</v>
      </c>
      <c r="BY37" s="177">
        <v>23037.693668552631</v>
      </c>
      <c r="BZ37" s="178">
        <v>0</v>
      </c>
      <c r="CA37" s="178">
        <v>0</v>
      </c>
      <c r="CB37" s="178">
        <v>0</v>
      </c>
      <c r="CC37" s="178">
        <v>1421</v>
      </c>
      <c r="CD37" s="178">
        <v>1093.258</v>
      </c>
      <c r="CE37" s="178">
        <v>22512.037080500013</v>
      </c>
      <c r="CF37" s="178">
        <v>93804</v>
      </c>
      <c r="CG37" s="178">
        <v>296.47899999999998</v>
      </c>
      <c r="CH37" s="178">
        <v>12842.893449399982</v>
      </c>
      <c r="CI37" s="178">
        <v>91019</v>
      </c>
      <c r="CJ37" s="178">
        <v>99.096000000000004</v>
      </c>
      <c r="CK37" s="178">
        <v>6988.1882801000002</v>
      </c>
      <c r="CL37" s="178">
        <v>186244</v>
      </c>
      <c r="CM37" s="178">
        <v>1488.8330000000001</v>
      </c>
      <c r="CN37" s="178">
        <v>42343.11881</v>
      </c>
      <c r="CO37" s="175">
        <v>0</v>
      </c>
      <c r="CP37" s="175">
        <v>0</v>
      </c>
      <c r="CQ37" s="175">
        <v>0</v>
      </c>
      <c r="CR37" s="175">
        <v>919</v>
      </c>
      <c r="CS37" s="175">
        <v>4473.91788</v>
      </c>
      <c r="CT37" s="175">
        <v>40594.648784069432</v>
      </c>
      <c r="CU37" s="175">
        <v>159271</v>
      </c>
      <c r="CV37" s="175">
        <v>500.60500000000002</v>
      </c>
      <c r="CW37" s="175">
        <v>22179.449223847361</v>
      </c>
      <c r="CX37" s="175">
        <v>149735</v>
      </c>
      <c r="CY37" s="175">
        <v>165.20099999999999</v>
      </c>
      <c r="CZ37" s="175">
        <v>12776.220927700595</v>
      </c>
      <c r="DA37" s="175">
        <v>309925</v>
      </c>
      <c r="DB37" s="175">
        <v>5139.7238800000005</v>
      </c>
      <c r="DC37" s="175">
        <v>75550.318935617383</v>
      </c>
      <c r="DD37" s="175">
        <v>0</v>
      </c>
      <c r="DE37" s="175">
        <v>0</v>
      </c>
      <c r="DF37" s="175">
        <v>0</v>
      </c>
      <c r="DG37" s="175">
        <v>1266</v>
      </c>
      <c r="DH37" s="175">
        <v>11299.192999999999</v>
      </c>
      <c r="DI37" s="175">
        <v>60687.015227865668</v>
      </c>
      <c r="DJ37" s="175">
        <v>266947</v>
      </c>
      <c r="DK37" s="175">
        <v>833.57100000000003</v>
      </c>
      <c r="DL37" s="175">
        <v>33775.602548659335</v>
      </c>
      <c r="DM37" s="175">
        <v>294427</v>
      </c>
      <c r="DN37" s="175">
        <v>330.19099999999997</v>
      </c>
      <c r="DO37" s="175">
        <v>22121.584488366108</v>
      </c>
      <c r="DP37" s="175">
        <v>562640</v>
      </c>
      <c r="DQ37" s="175">
        <v>12462.955</v>
      </c>
      <c r="DR37" s="175">
        <v>116584.20226489111</v>
      </c>
      <c r="DS37" s="175">
        <v>0</v>
      </c>
      <c r="DT37" s="175">
        <v>0</v>
      </c>
      <c r="DU37" s="175">
        <v>0</v>
      </c>
      <c r="DV37" s="175">
        <v>2196</v>
      </c>
      <c r="DW37" s="175">
        <v>18444.210999999999</v>
      </c>
      <c r="DX37" s="175">
        <v>88355.98120643181</v>
      </c>
      <c r="DY37" s="175">
        <v>524817</v>
      </c>
      <c r="DZ37" s="175">
        <v>1649.73</v>
      </c>
      <c r="EA37" s="175">
        <v>41330.9729783523</v>
      </c>
      <c r="EB37" s="175">
        <v>510204</v>
      </c>
      <c r="EC37" s="175">
        <v>564.99300000000005</v>
      </c>
      <c r="ED37" s="175">
        <v>26673.614759476299</v>
      </c>
      <c r="EE37" s="175">
        <v>1037217</v>
      </c>
      <c r="EF37" s="175">
        <v>20658.934000000001</v>
      </c>
      <c r="EG37" s="175">
        <v>156360.56894426042</v>
      </c>
    </row>
    <row r="38" spans="1:137" x14ac:dyDescent="0.2">
      <c r="A38" s="170">
        <v>27</v>
      </c>
      <c r="B38" s="171" t="s">
        <v>61</v>
      </c>
      <c r="C38" s="172">
        <v>8</v>
      </c>
      <c r="D38" s="172">
        <v>1724.5229999999999</v>
      </c>
      <c r="E38" s="173">
        <v>445.34088000000003</v>
      </c>
      <c r="F38" s="172">
        <v>579</v>
      </c>
      <c r="G38" s="172">
        <v>580.88699999999994</v>
      </c>
      <c r="H38" s="173">
        <v>7901.4520453999994</v>
      </c>
      <c r="I38" s="172">
        <v>35936</v>
      </c>
      <c r="J38" s="172">
        <v>114.86099999999999</v>
      </c>
      <c r="K38" s="173">
        <v>3908.5421709002899</v>
      </c>
      <c r="L38" s="172">
        <v>31720</v>
      </c>
      <c r="M38" s="172">
        <v>42.978999999999999</v>
      </c>
      <c r="N38" s="173">
        <v>2748.4129544993334</v>
      </c>
      <c r="O38" s="172">
        <v>68243</v>
      </c>
      <c r="P38" s="172">
        <v>2463.2499999999995</v>
      </c>
      <c r="Q38" s="173">
        <v>15003.748050799622</v>
      </c>
      <c r="R38" s="174">
        <v>8</v>
      </c>
      <c r="S38" s="198">
        <v>1869.3040000000001</v>
      </c>
      <c r="T38" s="174">
        <v>811.06163959999992</v>
      </c>
      <c r="U38" s="174">
        <v>1260</v>
      </c>
      <c r="V38" s="174">
        <v>383.85700000000003</v>
      </c>
      <c r="W38" s="174">
        <v>9911.6691072929043</v>
      </c>
      <c r="X38" s="174">
        <v>65751</v>
      </c>
      <c r="Y38" s="174">
        <v>208.51900000000001</v>
      </c>
      <c r="Z38" s="174">
        <v>7884.0895792998799</v>
      </c>
      <c r="AA38" s="174">
        <v>61742</v>
      </c>
      <c r="AB38" s="174">
        <v>70.885000000000005</v>
      </c>
      <c r="AC38" s="174">
        <v>7225.4376204012797</v>
      </c>
      <c r="AD38" s="175">
        <v>128761</v>
      </c>
      <c r="AE38" s="177">
        <v>2532.5650000000005</v>
      </c>
      <c r="AF38" s="174">
        <v>25832.257946594065</v>
      </c>
      <c r="AG38" s="176">
        <v>0</v>
      </c>
      <c r="AH38" s="176">
        <v>86</v>
      </c>
      <c r="AI38" s="176">
        <v>26</v>
      </c>
      <c r="AJ38" s="176">
        <v>1728</v>
      </c>
      <c r="AK38" s="176">
        <v>635</v>
      </c>
      <c r="AL38" s="176">
        <v>16760</v>
      </c>
      <c r="AM38" s="176">
        <v>114297</v>
      </c>
      <c r="AN38" s="176">
        <v>360</v>
      </c>
      <c r="AO38" s="176">
        <v>14944</v>
      </c>
      <c r="AP38" s="176">
        <v>106582</v>
      </c>
      <c r="AQ38" s="176">
        <v>116</v>
      </c>
      <c r="AR38" s="176">
        <v>12790</v>
      </c>
      <c r="AS38" s="176">
        <v>222607</v>
      </c>
      <c r="AT38" s="176">
        <v>1198</v>
      </c>
      <c r="AU38" s="176">
        <v>44520</v>
      </c>
      <c r="AV38" s="176">
        <v>0</v>
      </c>
      <c r="AW38" s="176">
        <v>0</v>
      </c>
      <c r="AX38" s="176">
        <v>1017.8990700000001</v>
      </c>
      <c r="AY38" s="176">
        <v>1991</v>
      </c>
      <c r="AZ38" s="176">
        <v>677.95</v>
      </c>
      <c r="BA38" s="176">
        <v>19842.655847659054</v>
      </c>
      <c r="BB38" s="176">
        <v>174628</v>
      </c>
      <c r="BC38" s="176">
        <v>545.99400000000003</v>
      </c>
      <c r="BD38" s="176">
        <v>25675.8751659964</v>
      </c>
      <c r="BE38" s="176">
        <v>143697</v>
      </c>
      <c r="BF38" s="176">
        <v>159.81299999999999</v>
      </c>
      <c r="BG38" s="176">
        <v>17161.490126505694</v>
      </c>
      <c r="BH38" s="176">
        <v>320316</v>
      </c>
      <c r="BI38" s="176">
        <v>1383.7570000000001</v>
      </c>
      <c r="BJ38" s="176">
        <v>63697.920210161144</v>
      </c>
      <c r="BK38" s="177">
        <v>0</v>
      </c>
      <c r="BL38" s="177">
        <v>0</v>
      </c>
      <c r="BM38" s="177">
        <v>508.94953500000003</v>
      </c>
      <c r="BN38" s="177">
        <v>2476</v>
      </c>
      <c r="BO38" s="177">
        <v>1633.1889999999999</v>
      </c>
      <c r="BP38" s="177">
        <v>31015.589143800138</v>
      </c>
      <c r="BQ38" s="177">
        <v>251091</v>
      </c>
      <c r="BR38" s="177">
        <v>781.23599999999999</v>
      </c>
      <c r="BS38" s="177">
        <v>38894.495713095799</v>
      </c>
      <c r="BT38" s="177">
        <v>183988</v>
      </c>
      <c r="BU38" s="177">
        <v>203.44</v>
      </c>
      <c r="BV38" s="177">
        <v>22756.067172599731</v>
      </c>
      <c r="BW38" s="177">
        <v>437555</v>
      </c>
      <c r="BX38" s="177">
        <v>2617.8649999999998</v>
      </c>
      <c r="BY38" s="177">
        <v>93175.101564495679</v>
      </c>
      <c r="BZ38" s="178">
        <v>1</v>
      </c>
      <c r="CA38" s="178">
        <v>6100</v>
      </c>
      <c r="CB38" s="178">
        <v>25670</v>
      </c>
      <c r="CC38" s="178">
        <v>3739</v>
      </c>
      <c r="CD38" s="178">
        <v>3118.1709999999998</v>
      </c>
      <c r="CE38" s="178">
        <v>48552.151343662845</v>
      </c>
      <c r="CF38" s="178">
        <v>370253</v>
      </c>
      <c r="CG38" s="178">
        <v>1145.2819999999999</v>
      </c>
      <c r="CH38" s="178">
        <v>55975.291423801107</v>
      </c>
      <c r="CI38" s="178">
        <v>317746</v>
      </c>
      <c r="CJ38" s="178">
        <v>349.38099999999997</v>
      </c>
      <c r="CK38" s="178">
        <v>30924.93676579955</v>
      </c>
      <c r="CL38" s="178">
        <v>691739</v>
      </c>
      <c r="CM38" s="178">
        <v>10712.833999999999</v>
      </c>
      <c r="CN38" s="178">
        <v>161122.37953326351</v>
      </c>
      <c r="CO38" s="175">
        <v>1</v>
      </c>
      <c r="CP38" s="175">
        <v>6100</v>
      </c>
      <c r="CQ38" s="175">
        <v>41301.570676449999</v>
      </c>
      <c r="CR38" s="175">
        <v>4744</v>
      </c>
      <c r="CS38" s="175">
        <v>4900.1220000000003</v>
      </c>
      <c r="CT38" s="175">
        <v>59515.126830098598</v>
      </c>
      <c r="CU38" s="175">
        <v>456781</v>
      </c>
      <c r="CV38" s="175">
        <v>1426.018</v>
      </c>
      <c r="CW38" s="175">
        <v>73174.347052897996</v>
      </c>
      <c r="CX38" s="175">
        <v>346134</v>
      </c>
      <c r="CY38" s="175">
        <v>392.02499999999998</v>
      </c>
      <c r="CZ38" s="175">
        <v>41133.870049403398</v>
      </c>
      <c r="DA38" s="175">
        <v>807660</v>
      </c>
      <c r="DB38" s="175">
        <v>12818.164999999999</v>
      </c>
      <c r="DC38" s="175">
        <v>215124.91460885</v>
      </c>
      <c r="DD38" s="175">
        <v>0</v>
      </c>
      <c r="DE38" s="175">
        <v>0</v>
      </c>
      <c r="DF38" s="175">
        <v>0</v>
      </c>
      <c r="DG38" s="175">
        <v>8640</v>
      </c>
      <c r="DH38" s="175">
        <v>4794.6319999999996</v>
      </c>
      <c r="DI38" s="175">
        <v>69105.585938693446</v>
      </c>
      <c r="DJ38" s="175">
        <v>622671</v>
      </c>
      <c r="DK38" s="175">
        <v>1935.1849999999999</v>
      </c>
      <c r="DL38" s="175">
        <v>99848.370695197373</v>
      </c>
      <c r="DM38" s="175">
        <v>547069</v>
      </c>
      <c r="DN38" s="175">
        <v>612.39</v>
      </c>
      <c r="DO38" s="175">
        <v>62048.440758796365</v>
      </c>
      <c r="DP38" s="175">
        <v>1178380</v>
      </c>
      <c r="DQ38" s="175">
        <v>7342.2069999999994</v>
      </c>
      <c r="DR38" s="175">
        <v>231002.39739268715</v>
      </c>
      <c r="DS38" s="175"/>
      <c r="DT38" s="175"/>
      <c r="DU38" s="175"/>
      <c r="DV38" s="175">
        <v>10144</v>
      </c>
      <c r="DW38" s="175">
        <v>10445.474</v>
      </c>
      <c r="DX38" s="175">
        <v>125510.02354669999</v>
      </c>
      <c r="DY38" s="175">
        <v>760193</v>
      </c>
      <c r="DZ38" s="175">
        <v>2340.4989999999998</v>
      </c>
      <c r="EA38" s="175">
        <v>132791.64803030001</v>
      </c>
      <c r="EB38" s="175">
        <v>649092</v>
      </c>
      <c r="EC38" s="175">
        <v>723.38499999999999</v>
      </c>
      <c r="ED38" s="175">
        <v>84248.338937799999</v>
      </c>
      <c r="EE38" s="175">
        <v>1419429</v>
      </c>
      <c r="EF38" s="175">
        <v>13509.358</v>
      </c>
      <c r="EG38" s="175">
        <v>342550.01051479997</v>
      </c>
    </row>
    <row r="39" spans="1:137" x14ac:dyDescent="0.2">
      <c r="A39" s="200">
        <v>28</v>
      </c>
      <c r="B39" s="171" t="s">
        <v>62</v>
      </c>
      <c r="C39" s="172">
        <v>15</v>
      </c>
      <c r="D39" s="172">
        <v>155.74900000000014</v>
      </c>
      <c r="E39" s="173">
        <v>777.06747080000002</v>
      </c>
      <c r="F39" s="172">
        <v>603</v>
      </c>
      <c r="G39" s="172">
        <v>661.79500000000053</v>
      </c>
      <c r="H39" s="173">
        <v>19511.111924499997</v>
      </c>
      <c r="I39" s="172">
        <v>206616</v>
      </c>
      <c r="J39" s="172">
        <v>685.67499999964673</v>
      </c>
      <c r="K39" s="173">
        <v>29124.070113147976</v>
      </c>
      <c r="L39" s="172">
        <v>222061</v>
      </c>
      <c r="M39" s="172">
        <v>374.71899999984174</v>
      </c>
      <c r="N39" s="173">
        <v>16408.398269452024</v>
      </c>
      <c r="O39" s="172">
        <v>429295</v>
      </c>
      <c r="P39" s="172">
        <v>1877.9379999994892</v>
      </c>
      <c r="Q39" s="173">
        <v>65820.647777899998</v>
      </c>
      <c r="R39" s="174"/>
      <c r="S39" s="174"/>
      <c r="T39" s="174">
        <v>-6.0116173999999996</v>
      </c>
      <c r="U39" s="175">
        <v>735</v>
      </c>
      <c r="V39" s="175">
        <v>785.86</v>
      </c>
      <c r="W39" s="175">
        <v>22784.75</v>
      </c>
      <c r="X39" s="175">
        <v>261576</v>
      </c>
      <c r="Y39" s="175">
        <v>832.91</v>
      </c>
      <c r="Z39" s="175">
        <v>32918.055999999997</v>
      </c>
      <c r="AA39" s="175">
        <v>221708</v>
      </c>
      <c r="AB39" s="175">
        <v>349.27</v>
      </c>
      <c r="AC39" s="175">
        <v>19318.759999999998</v>
      </c>
      <c r="AD39" s="175">
        <v>484019</v>
      </c>
      <c r="AE39" s="175">
        <v>1968.04</v>
      </c>
      <c r="AF39" s="175">
        <v>75015.554382599992</v>
      </c>
      <c r="AG39" s="176"/>
      <c r="AH39" s="176"/>
      <c r="AI39" s="176"/>
      <c r="AJ39" s="176">
        <v>1036</v>
      </c>
      <c r="AK39" s="176">
        <v>1090</v>
      </c>
      <c r="AL39" s="176">
        <v>29800</v>
      </c>
      <c r="AM39" s="176">
        <v>330059</v>
      </c>
      <c r="AN39" s="176">
        <v>1068</v>
      </c>
      <c r="AO39" s="176">
        <v>42469</v>
      </c>
      <c r="AP39" s="176">
        <v>244925</v>
      </c>
      <c r="AQ39" s="176">
        <v>375</v>
      </c>
      <c r="AR39" s="176">
        <v>22236</v>
      </c>
      <c r="AS39" s="176">
        <v>576020</v>
      </c>
      <c r="AT39" s="176">
        <v>2533</v>
      </c>
      <c r="AU39" s="176">
        <v>94505</v>
      </c>
      <c r="AV39" s="176"/>
      <c r="AW39" s="176"/>
      <c r="AX39" s="176"/>
      <c r="AY39" s="176">
        <v>1491</v>
      </c>
      <c r="AZ39" s="176">
        <v>1177.501</v>
      </c>
      <c r="BA39" s="176">
        <v>37455.157623300001</v>
      </c>
      <c r="BB39" s="176">
        <v>414319</v>
      </c>
      <c r="BC39" s="176">
        <v>1342.0219999999999</v>
      </c>
      <c r="BD39" s="176">
        <v>55993.0792</v>
      </c>
      <c r="BE39" s="176">
        <v>265504</v>
      </c>
      <c r="BF39" s="176">
        <v>387.71100000000001</v>
      </c>
      <c r="BG39" s="176">
        <v>25478.503100000002</v>
      </c>
      <c r="BH39" s="176">
        <v>681314</v>
      </c>
      <c r="BI39" s="176">
        <v>2907.2340000000004</v>
      </c>
      <c r="BJ39" s="176">
        <v>118926.7399233</v>
      </c>
      <c r="BK39" s="177">
        <v>0</v>
      </c>
      <c r="BL39" s="177">
        <v>0</v>
      </c>
      <c r="BM39" s="177">
        <v>0</v>
      </c>
      <c r="BN39" s="177">
        <v>2115</v>
      </c>
      <c r="BO39" s="177">
        <v>1349.5050000000001</v>
      </c>
      <c r="BP39" s="177">
        <v>48585.82568069992</v>
      </c>
      <c r="BQ39" s="177">
        <v>512990</v>
      </c>
      <c r="BR39" s="177">
        <v>1666.75</v>
      </c>
      <c r="BS39" s="177">
        <v>76925.750484097764</v>
      </c>
      <c r="BT39" s="177">
        <v>294259</v>
      </c>
      <c r="BU39" s="177">
        <v>414.19900000000001</v>
      </c>
      <c r="BV39" s="177">
        <v>31106.251161800679</v>
      </c>
      <c r="BW39" s="177">
        <v>809364</v>
      </c>
      <c r="BX39" s="177">
        <v>3430.4540000000002</v>
      </c>
      <c r="BY39" s="177">
        <v>156617.82732659834</v>
      </c>
      <c r="BZ39" s="178">
        <v>1</v>
      </c>
      <c r="CA39" s="178">
        <v>699.98299999999995</v>
      </c>
      <c r="CB39" s="178">
        <v>1036.0828799999999</v>
      </c>
      <c r="CC39" s="178">
        <v>2439</v>
      </c>
      <c r="CD39" s="178">
        <v>1697.86</v>
      </c>
      <c r="CE39" s="178">
        <v>58516.382877427197</v>
      </c>
      <c r="CF39" s="178">
        <v>689404</v>
      </c>
      <c r="CG39" s="178">
        <v>2226.0590000000002</v>
      </c>
      <c r="CH39" s="178">
        <v>101579.54111519936</v>
      </c>
      <c r="CI39" s="178">
        <v>371208</v>
      </c>
      <c r="CJ39" s="178">
        <v>492.45499999999998</v>
      </c>
      <c r="CK39" s="178">
        <v>37621.093819500064</v>
      </c>
      <c r="CL39" s="178">
        <v>1063052</v>
      </c>
      <c r="CM39" s="178">
        <v>5116.357</v>
      </c>
      <c r="CN39" s="178">
        <v>198753.10069212661</v>
      </c>
      <c r="CO39" s="175">
        <v>1</v>
      </c>
      <c r="CP39" s="175">
        <v>699.98299999999995</v>
      </c>
      <c r="CQ39" s="175">
        <v>20.951589999999999</v>
      </c>
      <c r="CR39" s="175">
        <v>2326</v>
      </c>
      <c r="CS39" s="175">
        <v>1664.6110000000001</v>
      </c>
      <c r="CT39" s="175">
        <v>63935.003804169864</v>
      </c>
      <c r="CU39" s="175">
        <v>804920</v>
      </c>
      <c r="CV39" s="175">
        <v>2592.3040000000001</v>
      </c>
      <c r="CW39" s="175">
        <v>125736.73681189999</v>
      </c>
      <c r="CX39" s="175">
        <v>399202</v>
      </c>
      <c r="CY39" s="175">
        <v>511.99099999999999</v>
      </c>
      <c r="CZ39" s="175">
        <v>46198.915504199969</v>
      </c>
      <c r="DA39" s="175">
        <v>1206449</v>
      </c>
      <c r="DB39" s="175">
        <v>5468.8890000000001</v>
      </c>
      <c r="DC39" s="175">
        <v>235891.60771026983</v>
      </c>
      <c r="DD39" s="175">
        <v>0</v>
      </c>
      <c r="DE39" s="175">
        <v>0</v>
      </c>
      <c r="DF39" s="175">
        <v>0</v>
      </c>
      <c r="DG39" s="175">
        <v>0</v>
      </c>
      <c r="DH39" s="175">
        <v>0</v>
      </c>
      <c r="DI39" s="175">
        <v>0</v>
      </c>
      <c r="DJ39" s="175">
        <v>0</v>
      </c>
      <c r="DK39" s="175">
        <v>0</v>
      </c>
      <c r="DL39" s="175">
        <v>0</v>
      </c>
      <c r="DM39" s="175">
        <v>0</v>
      </c>
      <c r="DN39" s="175">
        <v>0</v>
      </c>
      <c r="DO39" s="175">
        <v>0</v>
      </c>
      <c r="DP39" s="175">
        <v>0</v>
      </c>
      <c r="DQ39" s="175">
        <v>0</v>
      </c>
      <c r="DR39" s="175">
        <v>0</v>
      </c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</row>
    <row r="40" spans="1:137" x14ac:dyDescent="0.2">
      <c r="A40" s="170">
        <v>29</v>
      </c>
      <c r="B40" s="188" t="s">
        <v>63</v>
      </c>
      <c r="C40" s="172">
        <v>0</v>
      </c>
      <c r="D40" s="172">
        <v>0</v>
      </c>
      <c r="E40" s="173">
        <v>0</v>
      </c>
      <c r="F40" s="172"/>
      <c r="G40" s="172"/>
      <c r="H40" s="173"/>
      <c r="I40" s="172">
        <v>224</v>
      </c>
      <c r="J40" s="172">
        <v>665</v>
      </c>
      <c r="K40" s="173">
        <v>20.8</v>
      </c>
      <c r="L40" s="172">
        <v>325</v>
      </c>
      <c r="M40" s="172">
        <v>343</v>
      </c>
      <c r="N40" s="173">
        <v>12.74</v>
      </c>
      <c r="O40" s="172">
        <v>549</v>
      </c>
      <c r="P40" s="172">
        <v>1008</v>
      </c>
      <c r="Q40" s="173">
        <v>33.54</v>
      </c>
      <c r="R40" s="174"/>
      <c r="S40" s="174"/>
      <c r="T40" s="174"/>
      <c r="U40" s="175">
        <v>1</v>
      </c>
      <c r="V40" s="175">
        <v>0.34499999999999997</v>
      </c>
      <c r="W40" s="174">
        <v>232.35416976952601</v>
      </c>
      <c r="X40" s="175">
        <v>9560</v>
      </c>
      <c r="Y40" s="175">
        <v>28.5</v>
      </c>
      <c r="Z40" s="174">
        <v>1210.28</v>
      </c>
      <c r="AA40" s="175">
        <v>8083</v>
      </c>
      <c r="AB40" s="175">
        <v>9.18</v>
      </c>
      <c r="AC40" s="174">
        <v>681.23</v>
      </c>
      <c r="AD40" s="175">
        <v>17644</v>
      </c>
      <c r="AE40" s="175">
        <v>38.024999999999999</v>
      </c>
      <c r="AF40" s="175">
        <v>2123.8641697695257</v>
      </c>
      <c r="AG40" s="176"/>
      <c r="AH40" s="176"/>
      <c r="AI40" s="176"/>
      <c r="AJ40" s="176">
        <v>5</v>
      </c>
      <c r="AK40" s="176">
        <v>9</v>
      </c>
      <c r="AL40" s="176">
        <v>5421</v>
      </c>
      <c r="AM40" s="176">
        <v>33903</v>
      </c>
      <c r="AN40" s="176">
        <v>102</v>
      </c>
      <c r="AO40" s="176">
        <v>4842</v>
      </c>
      <c r="AP40" s="176">
        <v>32681</v>
      </c>
      <c r="AQ40" s="176">
        <v>33</v>
      </c>
      <c r="AR40" s="176">
        <v>3319</v>
      </c>
      <c r="AS40" s="176">
        <v>66589</v>
      </c>
      <c r="AT40" s="176">
        <v>144</v>
      </c>
      <c r="AU40" s="176">
        <v>13582</v>
      </c>
      <c r="AV40" s="176"/>
      <c r="AW40" s="176"/>
      <c r="AX40" s="176"/>
      <c r="AY40" s="176">
        <v>36</v>
      </c>
      <c r="AZ40" s="176">
        <v>102.893</v>
      </c>
      <c r="BA40" s="176">
        <v>4641.5481364154175</v>
      </c>
      <c r="BB40" s="176">
        <v>58226</v>
      </c>
      <c r="BC40" s="176">
        <v>180.559</v>
      </c>
      <c r="BD40" s="176">
        <v>7502.8123576062762</v>
      </c>
      <c r="BE40" s="176">
        <v>65659</v>
      </c>
      <c r="BF40" s="176">
        <v>81.819999999999993</v>
      </c>
      <c r="BG40" s="176">
        <v>8519.4417557011348</v>
      </c>
      <c r="BH40" s="176">
        <v>123921</v>
      </c>
      <c r="BI40" s="176">
        <v>365.27199999999999</v>
      </c>
      <c r="BJ40" s="176">
        <v>20663.80224972283</v>
      </c>
      <c r="BK40" s="177">
        <v>0</v>
      </c>
      <c r="BL40" s="177">
        <v>0</v>
      </c>
      <c r="BM40" s="177">
        <v>0</v>
      </c>
      <c r="BN40" s="177">
        <v>237</v>
      </c>
      <c r="BO40" s="177">
        <v>209.721</v>
      </c>
      <c r="BP40" s="177">
        <v>10662.935412089122</v>
      </c>
      <c r="BQ40" s="177">
        <v>94091</v>
      </c>
      <c r="BR40" s="177">
        <v>292.81299999999999</v>
      </c>
      <c r="BS40" s="177">
        <v>12324.197904323886</v>
      </c>
      <c r="BT40" s="177">
        <v>82367</v>
      </c>
      <c r="BU40" s="177">
        <v>97.3</v>
      </c>
      <c r="BV40" s="177">
        <v>9667.1326547224853</v>
      </c>
      <c r="BW40" s="177">
        <v>176695</v>
      </c>
      <c r="BX40" s="177">
        <v>599.83399999999995</v>
      </c>
      <c r="BY40" s="177">
        <v>32654.265971135494</v>
      </c>
      <c r="BZ40" s="178">
        <v>0</v>
      </c>
      <c r="CA40" s="178">
        <v>0</v>
      </c>
      <c r="CB40" s="178">
        <v>0</v>
      </c>
      <c r="CC40" s="178">
        <v>1029</v>
      </c>
      <c r="CD40" s="178">
        <v>575.351</v>
      </c>
      <c r="CE40" s="178">
        <v>20233.090059064707</v>
      </c>
      <c r="CF40" s="178">
        <v>123667</v>
      </c>
      <c r="CG40" s="178">
        <v>389.69799999999998</v>
      </c>
      <c r="CH40" s="178">
        <v>16079.706439100733</v>
      </c>
      <c r="CI40" s="178">
        <v>105121</v>
      </c>
      <c r="CJ40" s="178">
        <v>135.59899999999999</v>
      </c>
      <c r="CK40" s="178">
        <v>10569.388534700172</v>
      </c>
      <c r="CL40" s="178">
        <v>229817</v>
      </c>
      <c r="CM40" s="178">
        <v>1100.6479999999999</v>
      </c>
      <c r="CN40" s="178">
        <v>46882.185032865607</v>
      </c>
      <c r="CO40" s="175">
        <v>0</v>
      </c>
      <c r="CP40" s="175">
        <v>0</v>
      </c>
      <c r="CQ40" s="175">
        <v>0</v>
      </c>
      <c r="CR40" s="175">
        <v>1823</v>
      </c>
      <c r="CS40" s="175">
        <v>1369.154</v>
      </c>
      <c r="CT40" s="175">
        <v>25498.457534802674</v>
      </c>
      <c r="CU40" s="175">
        <v>119584</v>
      </c>
      <c r="CV40" s="175">
        <v>386.733</v>
      </c>
      <c r="CW40" s="175">
        <v>16831.077938999839</v>
      </c>
      <c r="CX40" s="175">
        <v>128757</v>
      </c>
      <c r="CY40" s="175">
        <v>192.62299999999999</v>
      </c>
      <c r="CZ40" s="175">
        <v>14399.56427120045</v>
      </c>
      <c r="DA40" s="175">
        <v>250164</v>
      </c>
      <c r="DB40" s="175">
        <v>1948.51</v>
      </c>
      <c r="DC40" s="175">
        <v>56729.099745002961</v>
      </c>
      <c r="DD40" s="175">
        <v>0</v>
      </c>
      <c r="DE40" s="175">
        <v>0</v>
      </c>
      <c r="DF40" s="175">
        <v>0</v>
      </c>
      <c r="DG40" s="175">
        <v>3590</v>
      </c>
      <c r="DH40" s="175">
        <v>4099.4120000000003</v>
      </c>
      <c r="DI40" s="175">
        <v>35093.360421500627</v>
      </c>
      <c r="DJ40" s="175">
        <v>133660</v>
      </c>
      <c r="DK40" s="175">
        <v>438.99799999999999</v>
      </c>
      <c r="DL40" s="175">
        <v>18843.806942660383</v>
      </c>
      <c r="DM40" s="175">
        <v>153596</v>
      </c>
      <c r="DN40" s="175">
        <v>262.82</v>
      </c>
      <c r="DO40" s="175">
        <v>20515.547353800201</v>
      </c>
      <c r="DP40" s="175">
        <v>290846</v>
      </c>
      <c r="DQ40" s="175">
        <v>4801.2299999999996</v>
      </c>
      <c r="DR40" s="175">
        <v>74452.714717961207</v>
      </c>
      <c r="DS40" s="175">
        <v>0</v>
      </c>
      <c r="DT40" s="175">
        <v>0</v>
      </c>
      <c r="DU40" s="175">
        <v>0</v>
      </c>
      <c r="DV40" s="175">
        <v>4134</v>
      </c>
      <c r="DW40" s="175">
        <v>6355.692</v>
      </c>
      <c r="DX40" s="175">
        <v>50531.457700740051</v>
      </c>
      <c r="DY40" s="175">
        <v>132097</v>
      </c>
      <c r="DZ40" s="175">
        <v>436.82100000000003</v>
      </c>
      <c r="EA40" s="175">
        <v>20034.823441369881</v>
      </c>
      <c r="EB40" s="175">
        <v>171189</v>
      </c>
      <c r="EC40" s="175">
        <v>311.75400000000002</v>
      </c>
      <c r="ED40" s="175">
        <v>26333.031809280146</v>
      </c>
      <c r="EE40" s="175">
        <v>307420</v>
      </c>
      <c r="EF40" s="175">
        <v>7104.2669999999998</v>
      </c>
      <c r="EG40" s="175">
        <v>96899.312951390079</v>
      </c>
    </row>
    <row r="41" spans="1:137" x14ac:dyDescent="0.2">
      <c r="A41" s="200">
        <v>30</v>
      </c>
      <c r="B41" s="189" t="s">
        <v>64</v>
      </c>
      <c r="C41" s="172">
        <v>3</v>
      </c>
      <c r="D41" s="172">
        <v>1045.538</v>
      </c>
      <c r="E41" s="173">
        <v>789.13</v>
      </c>
      <c r="F41" s="172">
        <v>1022</v>
      </c>
      <c r="G41" s="172">
        <v>264.36299999999744</v>
      </c>
      <c r="H41" s="173">
        <v>5445.49</v>
      </c>
      <c r="I41" s="172">
        <v>130794</v>
      </c>
      <c r="J41" s="172">
        <v>386.57399999992583</v>
      </c>
      <c r="K41" s="173">
        <v>19539.32</v>
      </c>
      <c r="L41" s="172">
        <v>72790</v>
      </c>
      <c r="M41" s="172">
        <v>72.86799999997757</v>
      </c>
      <c r="N41" s="173">
        <v>4979.34</v>
      </c>
      <c r="O41" s="172">
        <v>204609</v>
      </c>
      <c r="P41" s="172">
        <v>1769.3429999999012</v>
      </c>
      <c r="Q41" s="173">
        <v>30753.279999999999</v>
      </c>
      <c r="R41" s="174">
        <v>3</v>
      </c>
      <c r="S41" s="174">
        <v>1045.538</v>
      </c>
      <c r="T41" s="174">
        <v>124.32754</v>
      </c>
      <c r="U41" s="175">
        <v>267</v>
      </c>
      <c r="V41" s="175">
        <v>203.78399999999999</v>
      </c>
      <c r="W41" s="175">
        <v>2778.0990592999997</v>
      </c>
      <c r="X41" s="174">
        <v>159372</v>
      </c>
      <c r="Y41" s="174">
        <v>466.38</v>
      </c>
      <c r="Z41" s="174">
        <v>28459.291034999998</v>
      </c>
      <c r="AA41" s="174">
        <v>72341</v>
      </c>
      <c r="AB41" s="174">
        <v>72.078000000000003</v>
      </c>
      <c r="AC41" s="174">
        <v>5843.8750913999929</v>
      </c>
      <c r="AD41" s="175">
        <v>231983</v>
      </c>
      <c r="AE41" s="175">
        <v>1787.7800000000002</v>
      </c>
      <c r="AF41" s="174">
        <v>37205.592725699993</v>
      </c>
      <c r="AG41" s="176">
        <v>3</v>
      </c>
      <c r="AH41" s="176">
        <v>1046</v>
      </c>
      <c r="AI41" s="176">
        <v>425</v>
      </c>
      <c r="AJ41" s="176">
        <v>135</v>
      </c>
      <c r="AK41" s="176">
        <v>317</v>
      </c>
      <c r="AL41" s="176">
        <v>3852</v>
      </c>
      <c r="AM41" s="176">
        <v>134069</v>
      </c>
      <c r="AN41" s="176">
        <v>372</v>
      </c>
      <c r="AO41" s="176">
        <v>16180</v>
      </c>
      <c r="AP41" s="176">
        <v>130861</v>
      </c>
      <c r="AQ41" s="176">
        <v>306</v>
      </c>
      <c r="AR41" s="176">
        <v>27098</v>
      </c>
      <c r="AS41" s="176">
        <v>265068</v>
      </c>
      <c r="AT41" s="176">
        <v>2040</v>
      </c>
      <c r="AU41" s="176">
        <v>47555</v>
      </c>
      <c r="AV41" s="176">
        <v>3</v>
      </c>
      <c r="AW41" s="176">
        <v>1045.538</v>
      </c>
      <c r="AX41" s="176">
        <v>425.03245146666666</v>
      </c>
      <c r="AY41" s="176">
        <v>92</v>
      </c>
      <c r="AZ41" s="176">
        <v>427.32900000000006</v>
      </c>
      <c r="BA41" s="176">
        <v>6074.5183890000035</v>
      </c>
      <c r="BB41" s="176">
        <v>123745</v>
      </c>
      <c r="BC41" s="176">
        <v>421.74599999999998</v>
      </c>
      <c r="BD41" s="176">
        <v>19452.952374836201</v>
      </c>
      <c r="BE41" s="176">
        <v>183167</v>
      </c>
      <c r="BF41" s="176">
        <v>386.19299999999998</v>
      </c>
      <c r="BG41" s="176">
        <v>33141.078456171097</v>
      </c>
      <c r="BH41" s="176">
        <v>307007</v>
      </c>
      <c r="BI41" s="176">
        <v>2280.8060000000005</v>
      </c>
      <c r="BJ41" s="176">
        <v>59093.581671473963</v>
      </c>
      <c r="BK41" s="177">
        <v>3</v>
      </c>
      <c r="BL41" s="177">
        <v>1045.538</v>
      </c>
      <c r="BM41" s="177">
        <v>425.03245439999995</v>
      </c>
      <c r="BN41" s="177">
        <v>188</v>
      </c>
      <c r="BO41" s="177">
        <v>620.86099999999999</v>
      </c>
      <c r="BP41" s="177">
        <v>10481.380636234782</v>
      </c>
      <c r="BQ41" s="177">
        <v>123577.48199999999</v>
      </c>
      <c r="BR41" s="177">
        <v>328.78637399999997</v>
      </c>
      <c r="BS41" s="177">
        <v>25304.6320721554</v>
      </c>
      <c r="BT41" s="177">
        <v>186140.51799999998</v>
      </c>
      <c r="BU41" s="177">
        <v>495.23962599999999</v>
      </c>
      <c r="BV41" s="177">
        <v>38115.498434499736</v>
      </c>
      <c r="BW41" s="177">
        <v>309909</v>
      </c>
      <c r="BX41" s="177">
        <v>2490.4249999999997</v>
      </c>
      <c r="BY41" s="177">
        <v>74326.543597289914</v>
      </c>
      <c r="BZ41" s="178">
        <v>6</v>
      </c>
      <c r="CA41" s="178">
        <v>2091.076</v>
      </c>
      <c r="CB41" s="178">
        <v>354.17048480000005</v>
      </c>
      <c r="CC41" s="178">
        <v>601</v>
      </c>
      <c r="CD41" s="178">
        <v>1642.2</v>
      </c>
      <c r="CE41" s="178">
        <v>17427.25984701356</v>
      </c>
      <c r="CF41" s="178">
        <v>509753</v>
      </c>
      <c r="CG41" s="178">
        <v>1513.9970000000001</v>
      </c>
      <c r="CH41" s="178">
        <v>59847.9205702338</v>
      </c>
      <c r="CI41" s="178">
        <v>185747</v>
      </c>
      <c r="CJ41" s="178">
        <v>185.78100000000001</v>
      </c>
      <c r="CK41" s="178">
        <v>13819.733510732322</v>
      </c>
      <c r="CL41" s="178">
        <v>696107</v>
      </c>
      <c r="CM41" s="178">
        <v>5433.0540000000001</v>
      </c>
      <c r="CN41" s="178">
        <v>91449.084412779674</v>
      </c>
      <c r="CO41" s="175">
        <v>0</v>
      </c>
      <c r="CP41" s="175">
        <v>0</v>
      </c>
      <c r="CQ41" s="175">
        <v>0</v>
      </c>
      <c r="CR41" s="175">
        <v>1176</v>
      </c>
      <c r="CS41" s="175">
        <v>2547.1999999999998</v>
      </c>
      <c r="CT41" s="175">
        <v>30819.281694900001</v>
      </c>
      <c r="CU41" s="175">
        <v>587422</v>
      </c>
      <c r="CV41" s="175">
        <v>1766.2249999999999</v>
      </c>
      <c r="CW41" s="175">
        <v>69357.028718600006</v>
      </c>
      <c r="CX41" s="175">
        <v>233502</v>
      </c>
      <c r="CY41" s="175">
        <v>235.73099999999999</v>
      </c>
      <c r="CZ41" s="175">
        <v>17580.113690300001</v>
      </c>
      <c r="DA41" s="175">
        <v>822100</v>
      </c>
      <c r="DB41" s="175">
        <v>4549.155999999999</v>
      </c>
      <c r="DC41" s="175">
        <v>117756.4241038</v>
      </c>
      <c r="DD41" s="175">
        <v>0</v>
      </c>
      <c r="DE41" s="175">
        <v>0</v>
      </c>
      <c r="DF41" s="175">
        <v>0</v>
      </c>
      <c r="DG41" s="175">
        <v>1243</v>
      </c>
      <c r="DH41" s="175">
        <v>2102.84</v>
      </c>
      <c r="DI41" s="175">
        <v>33897.435531585033</v>
      </c>
      <c r="DJ41" s="175">
        <v>623483</v>
      </c>
      <c r="DK41" s="175">
        <v>1804.16</v>
      </c>
      <c r="DL41" s="175">
        <v>111693.71629299998</v>
      </c>
      <c r="DM41" s="175">
        <v>231938</v>
      </c>
      <c r="DN41" s="175">
        <v>231.958</v>
      </c>
      <c r="DO41" s="175">
        <v>23968.314229199983</v>
      </c>
      <c r="DP41" s="175">
        <v>856664</v>
      </c>
      <c r="DQ41" s="175">
        <v>4138.9579999999996</v>
      </c>
      <c r="DR41" s="175">
        <v>169559.466053785</v>
      </c>
      <c r="DS41" s="175">
        <v>0</v>
      </c>
      <c r="DT41" s="175">
        <v>0</v>
      </c>
      <c r="DU41" s="175">
        <v>0</v>
      </c>
      <c r="DV41" s="175">
        <v>1759</v>
      </c>
      <c r="DW41" s="175">
        <v>3696.2739999999999</v>
      </c>
      <c r="DX41" s="175">
        <v>59169.500373180817</v>
      </c>
      <c r="DY41" s="175">
        <v>1046751</v>
      </c>
      <c r="DZ41" s="175">
        <v>2861.7849999999999</v>
      </c>
      <c r="EA41" s="175">
        <v>190860.3807223218</v>
      </c>
      <c r="EB41" s="175">
        <v>226331</v>
      </c>
      <c r="EC41" s="175">
        <v>226.34100000000001</v>
      </c>
      <c r="ED41" s="175">
        <v>24873.649851037269</v>
      </c>
      <c r="EE41" s="175">
        <v>1274841</v>
      </c>
      <c r="EF41" s="175">
        <v>6784.4</v>
      </c>
      <c r="EG41" s="175">
        <v>274903.53094653989</v>
      </c>
    </row>
    <row r="42" spans="1:137" x14ac:dyDescent="0.2">
      <c r="A42" s="170">
        <v>31</v>
      </c>
      <c r="B42" s="171" t="s">
        <v>65</v>
      </c>
      <c r="C42" s="172"/>
      <c r="D42" s="172"/>
      <c r="E42" s="173"/>
      <c r="F42" s="172"/>
      <c r="G42" s="172"/>
      <c r="H42" s="173"/>
      <c r="I42" s="172"/>
      <c r="J42" s="172"/>
      <c r="K42" s="173"/>
      <c r="L42" s="172"/>
      <c r="M42" s="172"/>
      <c r="N42" s="173"/>
      <c r="O42" s="172"/>
      <c r="P42" s="172"/>
      <c r="Q42" s="173"/>
      <c r="R42" s="174"/>
      <c r="S42" s="174"/>
      <c r="T42" s="174"/>
      <c r="U42" s="175"/>
      <c r="V42" s="175"/>
      <c r="W42" s="175"/>
      <c r="X42" s="174"/>
      <c r="Y42" s="174"/>
      <c r="Z42" s="174"/>
      <c r="AA42" s="174"/>
      <c r="AB42" s="174"/>
      <c r="AC42" s="174"/>
      <c r="AD42" s="175"/>
      <c r="AE42" s="175"/>
      <c r="AF42" s="174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8">
        <v>0</v>
      </c>
      <c r="CA42" s="178">
        <v>0</v>
      </c>
      <c r="CB42" s="178">
        <v>0</v>
      </c>
      <c r="CC42" s="178">
        <v>1</v>
      </c>
      <c r="CD42" s="178">
        <v>3.1E-2</v>
      </c>
      <c r="CE42" s="178">
        <v>11.227069999999999</v>
      </c>
      <c r="CF42" s="178">
        <v>1726</v>
      </c>
      <c r="CG42" s="178">
        <v>5.2450000000000001</v>
      </c>
      <c r="CH42" s="178">
        <v>277.93065999999999</v>
      </c>
      <c r="CI42" s="178">
        <v>1418</v>
      </c>
      <c r="CJ42" s="178">
        <v>1.4179999999999999</v>
      </c>
      <c r="CK42" s="178">
        <v>119.79156999999999</v>
      </c>
      <c r="CL42" s="178">
        <v>3145</v>
      </c>
      <c r="CM42" s="178">
        <v>6.694</v>
      </c>
      <c r="CN42" s="178">
        <v>408.94929999999999</v>
      </c>
      <c r="CO42" s="175">
        <v>0</v>
      </c>
      <c r="CP42" s="175">
        <v>0</v>
      </c>
      <c r="CQ42" s="175">
        <v>0</v>
      </c>
      <c r="CR42" s="175">
        <v>1</v>
      </c>
      <c r="CS42" s="175">
        <v>3.4000000000000002E-2</v>
      </c>
      <c r="CT42" s="175">
        <v>3.3563499999999999</v>
      </c>
      <c r="CU42" s="175">
        <v>2892</v>
      </c>
      <c r="CV42" s="175">
        <v>8.6920000000000002</v>
      </c>
      <c r="CW42" s="175">
        <v>390.42851781694895</v>
      </c>
      <c r="CX42" s="175">
        <v>2687</v>
      </c>
      <c r="CY42" s="175">
        <v>2.6469999999999998</v>
      </c>
      <c r="CZ42" s="175">
        <v>204.73947124576301</v>
      </c>
      <c r="DA42" s="175">
        <v>5580</v>
      </c>
      <c r="DB42" s="175">
        <v>11.373000000000001</v>
      </c>
      <c r="DC42" s="175">
        <v>598.52433906271199</v>
      </c>
      <c r="DD42" s="175">
        <v>0</v>
      </c>
      <c r="DE42" s="175">
        <v>0</v>
      </c>
      <c r="DF42" s="175">
        <v>0</v>
      </c>
      <c r="DG42" s="175">
        <v>1</v>
      </c>
      <c r="DH42" s="175">
        <v>3.6999999999999998E-2</v>
      </c>
      <c r="DI42" s="175">
        <v>0</v>
      </c>
      <c r="DJ42" s="175">
        <v>502</v>
      </c>
      <c r="DK42" s="175">
        <v>1.663</v>
      </c>
      <c r="DL42" s="175">
        <v>-0.45691590000000004</v>
      </c>
      <c r="DM42" s="175">
        <v>459</v>
      </c>
      <c r="DN42" s="175">
        <v>0.5</v>
      </c>
      <c r="DO42" s="175">
        <v>-0.88875259999999989</v>
      </c>
      <c r="DP42" s="175">
        <v>962</v>
      </c>
      <c r="DQ42" s="175">
        <v>2.2000000000000002</v>
      </c>
      <c r="DR42" s="175">
        <v>-1.3456684999999999</v>
      </c>
      <c r="DS42" s="175">
        <v>0</v>
      </c>
      <c r="DT42" s="175">
        <v>0</v>
      </c>
      <c r="DU42" s="175">
        <v>0</v>
      </c>
      <c r="DV42" s="175">
        <v>1</v>
      </c>
      <c r="DW42" s="175">
        <v>2.7E-2</v>
      </c>
      <c r="DX42" s="175">
        <v>-1.5808</v>
      </c>
      <c r="DY42" s="175">
        <v>101</v>
      </c>
      <c r="DZ42" s="175">
        <v>0.31</v>
      </c>
      <c r="EA42" s="175">
        <v>0</v>
      </c>
      <c r="EB42" s="175">
        <v>82</v>
      </c>
      <c r="EC42" s="175">
        <v>8.2000000000000003E-2</v>
      </c>
      <c r="ED42" s="175">
        <v>0</v>
      </c>
      <c r="EE42" s="175">
        <v>184</v>
      </c>
      <c r="EF42" s="175">
        <v>0.41900000000000004</v>
      </c>
      <c r="EG42" s="175">
        <v>-1.5808</v>
      </c>
    </row>
    <row r="43" spans="1:137" x14ac:dyDescent="0.2">
      <c r="A43" s="200">
        <v>32</v>
      </c>
      <c r="B43" s="189" t="s">
        <v>66</v>
      </c>
      <c r="C43" s="172">
        <v>20</v>
      </c>
      <c r="D43" s="172">
        <v>4476.9949999999999</v>
      </c>
      <c r="E43" s="173">
        <v>3787.8151400000002</v>
      </c>
      <c r="F43" s="172">
        <v>5302</v>
      </c>
      <c r="G43" s="172">
        <v>455.06399999999996</v>
      </c>
      <c r="H43" s="173">
        <v>8640.1848599999994</v>
      </c>
      <c r="I43" s="172">
        <v>803843</v>
      </c>
      <c r="J43" s="172">
        <v>2713.3639999999996</v>
      </c>
      <c r="K43" s="173">
        <v>62642.038024600006</v>
      </c>
      <c r="L43" s="172">
        <v>522921</v>
      </c>
      <c r="M43" s="172">
        <v>656.60300000000007</v>
      </c>
      <c r="N43" s="173">
        <v>30522.914502799991</v>
      </c>
      <c r="O43" s="172">
        <v>1332086</v>
      </c>
      <c r="P43" s="172">
        <v>8302.0259999999998</v>
      </c>
      <c r="Q43" s="173">
        <v>105592.9525274</v>
      </c>
      <c r="R43" s="174">
        <v>17</v>
      </c>
      <c r="S43" s="174">
        <v>4426</v>
      </c>
      <c r="T43" s="174">
        <v>2761.56</v>
      </c>
      <c r="U43" s="175">
        <v>5392</v>
      </c>
      <c r="V43" s="175">
        <v>453.87</v>
      </c>
      <c r="W43" s="175">
        <v>9993.5400000000009</v>
      </c>
      <c r="X43" s="175">
        <v>1048105</v>
      </c>
      <c r="Y43" s="175">
        <v>1697.7040000000002</v>
      </c>
      <c r="Z43" s="175">
        <v>91170.26999999999</v>
      </c>
      <c r="AA43" s="175">
        <v>580575</v>
      </c>
      <c r="AB43" s="175">
        <v>674.61</v>
      </c>
      <c r="AC43" s="175">
        <v>38703.21</v>
      </c>
      <c r="AD43" s="175">
        <v>1634089</v>
      </c>
      <c r="AE43" s="175">
        <v>7252.1840000000002</v>
      </c>
      <c r="AF43" s="175">
        <v>142628.57999999999</v>
      </c>
      <c r="AG43" s="176">
        <v>12</v>
      </c>
      <c r="AH43" s="176">
        <v>2917</v>
      </c>
      <c r="AI43" s="176">
        <v>1534</v>
      </c>
      <c r="AJ43" s="176">
        <v>5444</v>
      </c>
      <c r="AK43" s="176">
        <v>496</v>
      </c>
      <c r="AL43" s="176">
        <v>14131</v>
      </c>
      <c r="AM43" s="176">
        <v>1316551</v>
      </c>
      <c r="AN43" s="176">
        <v>4394</v>
      </c>
      <c r="AO43" s="176">
        <v>130364</v>
      </c>
      <c r="AP43" s="176">
        <v>669551</v>
      </c>
      <c r="AQ43" s="176">
        <v>740</v>
      </c>
      <c r="AR43" s="176">
        <v>48363</v>
      </c>
      <c r="AS43" s="176">
        <v>1991558</v>
      </c>
      <c r="AT43" s="176">
        <v>8547</v>
      </c>
      <c r="AU43" s="176">
        <v>194392</v>
      </c>
      <c r="AV43" s="176">
        <v>0</v>
      </c>
      <c r="AW43" s="176">
        <v>0</v>
      </c>
      <c r="AX43" s="176">
        <v>2100</v>
      </c>
      <c r="AY43" s="176">
        <v>6101</v>
      </c>
      <c r="AZ43" s="176">
        <v>918.19500000000005</v>
      </c>
      <c r="BA43" s="176">
        <v>35016.105968999997</v>
      </c>
      <c r="BB43" s="176">
        <v>162092</v>
      </c>
      <c r="BC43" s="176">
        <v>514.40599999999995</v>
      </c>
      <c r="BD43" s="176">
        <v>162743.42040569999</v>
      </c>
      <c r="BE43" s="176">
        <v>2411398</v>
      </c>
      <c r="BF43" s="176">
        <v>6218.16</v>
      </c>
      <c r="BG43" s="176">
        <v>85667.337822899994</v>
      </c>
      <c r="BH43" s="176">
        <v>2579591</v>
      </c>
      <c r="BI43" s="176">
        <v>7650.7610000000004</v>
      </c>
      <c r="BJ43" s="176">
        <v>285526.86419759999</v>
      </c>
      <c r="BK43" s="177">
        <v>0</v>
      </c>
      <c r="BL43" s="177">
        <v>0</v>
      </c>
      <c r="BM43" s="177">
        <v>3931.0633899999998</v>
      </c>
      <c r="BN43" s="177">
        <v>6007</v>
      </c>
      <c r="BO43" s="177">
        <v>1049.787</v>
      </c>
      <c r="BP43" s="177">
        <v>38163.200539999998</v>
      </c>
      <c r="BQ43" s="177">
        <v>2360706</v>
      </c>
      <c r="BR43" s="177">
        <v>6904.1490000000003</v>
      </c>
      <c r="BS43" s="177">
        <v>244195.01869</v>
      </c>
      <c r="BT43" s="177">
        <v>722845</v>
      </c>
      <c r="BU43" s="177">
        <v>1086.3440000000001</v>
      </c>
      <c r="BV43" s="177">
        <v>116880.29317999999</v>
      </c>
      <c r="BW43" s="177">
        <v>3089558</v>
      </c>
      <c r="BX43" s="177">
        <v>9040.2800000000007</v>
      </c>
      <c r="BY43" s="177">
        <v>403169.57579999999</v>
      </c>
      <c r="BZ43" s="178">
        <v>0</v>
      </c>
      <c r="CA43" s="178">
        <v>0</v>
      </c>
      <c r="CB43" s="178">
        <v>0</v>
      </c>
      <c r="CC43" s="178">
        <v>7017</v>
      </c>
      <c r="CD43" s="178">
        <v>2032.4649999999999</v>
      </c>
      <c r="CE43" s="178">
        <v>59486.857904300006</v>
      </c>
      <c r="CF43" s="178">
        <v>2555050</v>
      </c>
      <c r="CG43" s="178">
        <v>8326.6020000000008</v>
      </c>
      <c r="CH43" s="178">
        <v>315507.82586500002</v>
      </c>
      <c r="CI43" s="178">
        <v>1172298</v>
      </c>
      <c r="CJ43" s="178">
        <v>1257.971</v>
      </c>
      <c r="CK43" s="178">
        <v>152187.1260746</v>
      </c>
      <c r="CL43" s="178">
        <v>3734365</v>
      </c>
      <c r="CM43" s="178">
        <v>11617.038</v>
      </c>
      <c r="CN43" s="178">
        <v>527181.80984390003</v>
      </c>
      <c r="CO43" s="175">
        <v>1</v>
      </c>
      <c r="CP43" s="175">
        <v>268.56799999999998</v>
      </c>
      <c r="CQ43" s="175">
        <v>201.07570000000001</v>
      </c>
      <c r="CR43" s="175">
        <v>6621</v>
      </c>
      <c r="CS43" s="175">
        <v>2516.7910000000002</v>
      </c>
      <c r="CT43" s="175">
        <v>88971.642813999992</v>
      </c>
      <c r="CU43" s="175">
        <v>3710298</v>
      </c>
      <c r="CV43" s="175">
        <v>10687.007</v>
      </c>
      <c r="CW43" s="175">
        <v>530479.89367000002</v>
      </c>
      <c r="CX43" s="175">
        <v>746043</v>
      </c>
      <c r="CY43" s="175">
        <v>788.07899999999995</v>
      </c>
      <c r="CZ43" s="175">
        <v>52246.595233999993</v>
      </c>
      <c r="DA43" s="175">
        <v>4462963</v>
      </c>
      <c r="DB43" s="175">
        <v>14260.445</v>
      </c>
      <c r="DC43" s="175">
        <v>671899.20741799998</v>
      </c>
      <c r="DD43" s="175">
        <v>0</v>
      </c>
      <c r="DE43" s="175">
        <v>0</v>
      </c>
      <c r="DF43" s="175">
        <v>0</v>
      </c>
      <c r="DG43" s="175">
        <v>10895</v>
      </c>
      <c r="DH43" s="175">
        <v>3092.6660000000002</v>
      </c>
      <c r="DI43" s="175">
        <v>98945.685700000002</v>
      </c>
      <c r="DJ43" s="175">
        <v>5524248</v>
      </c>
      <c r="DK43" s="175">
        <v>14925.188</v>
      </c>
      <c r="DL43" s="175">
        <v>754363.23887999996</v>
      </c>
      <c r="DM43" s="175">
        <v>863618</v>
      </c>
      <c r="DN43" s="175">
        <v>904.96100000000001</v>
      </c>
      <c r="DO43" s="175">
        <v>68549.960139999996</v>
      </c>
      <c r="DP43" s="175">
        <v>6398761</v>
      </c>
      <c r="DQ43" s="175">
        <v>18922.814999999999</v>
      </c>
      <c r="DR43" s="175">
        <v>921858.88471999997</v>
      </c>
      <c r="DS43" s="175">
        <v>0</v>
      </c>
      <c r="DT43" s="175">
        <v>0</v>
      </c>
      <c r="DU43" s="175">
        <v>0</v>
      </c>
      <c r="DV43" s="175">
        <v>16686</v>
      </c>
      <c r="DW43" s="175">
        <v>3577.2020000000002</v>
      </c>
      <c r="DX43" s="175">
        <v>116493.56114999999</v>
      </c>
      <c r="DY43" s="175">
        <v>6067669</v>
      </c>
      <c r="DZ43" s="175">
        <v>16566.29</v>
      </c>
      <c r="EA43" s="175">
        <v>937364.01469320012</v>
      </c>
      <c r="EB43" s="175">
        <v>809610</v>
      </c>
      <c r="EC43" s="175">
        <v>848.21900000000005</v>
      </c>
      <c r="ED43" s="175">
        <v>75573.390420700001</v>
      </c>
      <c r="EE43" s="175">
        <v>6893965</v>
      </c>
      <c r="EF43" s="175">
        <v>20991.711000000003</v>
      </c>
      <c r="EG43" s="175">
        <v>1129430.9662639</v>
      </c>
    </row>
    <row r="44" spans="1:137" s="134" customFormat="1" x14ac:dyDescent="0.2">
      <c r="A44" s="179"/>
      <c r="B44" s="180" t="s">
        <v>67</v>
      </c>
      <c r="C44" s="182">
        <v>46</v>
      </c>
      <c r="D44" s="182">
        <v>7402.8050000000003</v>
      </c>
      <c r="E44" s="182">
        <v>5799.3534908000001</v>
      </c>
      <c r="F44" s="182">
        <v>7506</v>
      </c>
      <c r="G44" s="182">
        <v>1962.1089999999976</v>
      </c>
      <c r="H44" s="182">
        <v>41498.238829900001</v>
      </c>
      <c r="I44" s="182">
        <v>1177413</v>
      </c>
      <c r="J44" s="182">
        <v>4565.4739999995727</v>
      </c>
      <c r="K44" s="182">
        <v>115234.77030864827</v>
      </c>
      <c r="L44" s="182">
        <v>849817</v>
      </c>
      <c r="M44" s="182">
        <v>1490.1689999998193</v>
      </c>
      <c r="N44" s="182">
        <v>54671.80572675135</v>
      </c>
      <c r="O44" s="182">
        <v>2034782</v>
      </c>
      <c r="P44" s="182">
        <v>15420.55699999939</v>
      </c>
      <c r="Q44" s="182">
        <v>217204.16835609963</v>
      </c>
      <c r="R44" s="199">
        <f t="shared" ref="R44:AF44" si="2">SUM(R39:R43)</f>
        <v>20</v>
      </c>
      <c r="S44" s="199">
        <f t="shared" si="2"/>
        <v>5471.5380000000005</v>
      </c>
      <c r="T44" s="199">
        <f t="shared" si="2"/>
        <v>2879.8759225999997</v>
      </c>
      <c r="U44" s="199">
        <f t="shared" si="2"/>
        <v>6395</v>
      </c>
      <c r="V44" s="199">
        <f t="shared" si="2"/>
        <v>1443.8589999999999</v>
      </c>
      <c r="W44" s="199">
        <f t="shared" si="2"/>
        <v>35788.743229069529</v>
      </c>
      <c r="X44" s="199">
        <f t="shared" si="2"/>
        <v>1478613</v>
      </c>
      <c r="Y44" s="199">
        <f t="shared" si="2"/>
        <v>3025.4940000000001</v>
      </c>
      <c r="Z44" s="199">
        <f t="shared" si="2"/>
        <v>153757.89703499997</v>
      </c>
      <c r="AA44" s="199">
        <f t="shared" si="2"/>
        <v>882707</v>
      </c>
      <c r="AB44" s="199">
        <f t="shared" si="2"/>
        <v>1105.1379999999999</v>
      </c>
      <c r="AC44" s="199">
        <f t="shared" si="2"/>
        <v>64547.075091399995</v>
      </c>
      <c r="AD44" s="199">
        <f t="shared" si="2"/>
        <v>2367735</v>
      </c>
      <c r="AE44" s="199">
        <f t="shared" si="2"/>
        <v>11046.029</v>
      </c>
      <c r="AF44" s="199">
        <f t="shared" si="2"/>
        <v>256973.59127806951</v>
      </c>
      <c r="AG44" s="185">
        <v>15</v>
      </c>
      <c r="AH44" s="185">
        <v>4049</v>
      </c>
      <c r="AI44" s="185">
        <v>1985</v>
      </c>
      <c r="AJ44" s="185">
        <v>8348</v>
      </c>
      <c r="AK44" s="185">
        <v>2546</v>
      </c>
      <c r="AL44" s="185">
        <v>69964</v>
      </c>
      <c r="AM44" s="185">
        <v>1928879</v>
      </c>
      <c r="AN44" s="185">
        <v>6297</v>
      </c>
      <c r="AO44" s="185">
        <v>208801</v>
      </c>
      <c r="AP44" s="185">
        <v>1184600</v>
      </c>
      <c r="AQ44" s="185">
        <v>1570</v>
      </c>
      <c r="AR44" s="185">
        <v>113806</v>
      </c>
      <c r="AS44" s="185">
        <v>3121842</v>
      </c>
      <c r="AT44" s="185">
        <v>14461</v>
      </c>
      <c r="AU44" s="185">
        <v>394555</v>
      </c>
      <c r="AV44" s="176">
        <v>3</v>
      </c>
      <c r="AW44" s="176">
        <v>1045.538</v>
      </c>
      <c r="AX44" s="176">
        <v>3542.9315214666667</v>
      </c>
      <c r="AY44" s="176">
        <v>9880</v>
      </c>
      <c r="AZ44" s="176">
        <v>3489.0310000000004</v>
      </c>
      <c r="BA44" s="176">
        <v>108043.10213535681</v>
      </c>
      <c r="BB44" s="176">
        <v>934311</v>
      </c>
      <c r="BC44" s="176">
        <v>3008.7669999999998</v>
      </c>
      <c r="BD44" s="176">
        <v>271547.79979869537</v>
      </c>
      <c r="BE44" s="176">
        <v>3070377</v>
      </c>
      <c r="BF44" s="176">
        <v>7234.73</v>
      </c>
      <c r="BG44" s="176">
        <v>170082.93379097793</v>
      </c>
      <c r="BH44" s="176">
        <v>4014571</v>
      </c>
      <c r="BI44" s="176">
        <v>14778.066000000001</v>
      </c>
      <c r="BJ44" s="176">
        <v>553216.76724649686</v>
      </c>
      <c r="BK44" s="186">
        <v>3</v>
      </c>
      <c r="BL44" s="186">
        <v>1045.538</v>
      </c>
      <c r="BM44" s="186">
        <v>4865.0453793999995</v>
      </c>
      <c r="BN44" s="186">
        <v>12500</v>
      </c>
      <c r="BO44" s="186">
        <v>5450.6409999999996</v>
      </c>
      <c r="BP44" s="186">
        <v>154255.2904673896</v>
      </c>
      <c r="BQ44" s="186">
        <v>3375960.4819999998</v>
      </c>
      <c r="BR44" s="186">
        <v>10079.160373999999</v>
      </c>
      <c r="BS44" s="186">
        <v>402274.02512869082</v>
      </c>
      <c r="BT44" s="186">
        <v>1510231.5179999999</v>
      </c>
      <c r="BU44" s="186">
        <v>2342.4566260000001</v>
      </c>
      <c r="BV44" s="186">
        <v>221586.6469525916</v>
      </c>
      <c r="BW44" s="186">
        <v>4898695</v>
      </c>
      <c r="BX44" s="186">
        <v>18917.796000000002</v>
      </c>
      <c r="BY44" s="186">
        <v>782981.00792807201</v>
      </c>
      <c r="BZ44" s="187">
        <v>8</v>
      </c>
      <c r="CA44" s="187">
        <v>8891.0590000000011</v>
      </c>
      <c r="CB44" s="187">
        <v>27060.253364799999</v>
      </c>
      <c r="CC44" s="187">
        <v>16247</v>
      </c>
      <c r="CD44" s="187">
        <v>10159.335999999999</v>
      </c>
      <c r="CE44" s="187">
        <v>226739.00618196832</v>
      </c>
      <c r="CF44" s="187">
        <v>4343657</v>
      </c>
      <c r="CG44" s="187">
        <v>13903.362000000001</v>
      </c>
      <c r="CH44" s="187">
        <v>562111.109522735</v>
      </c>
      <c r="CI44" s="187">
        <v>2244557</v>
      </c>
      <c r="CJ44" s="187">
        <v>2521.701</v>
      </c>
      <c r="CK44" s="187">
        <v>252230.25855543211</v>
      </c>
      <c r="CL44" s="187">
        <v>6604469</v>
      </c>
      <c r="CM44" s="187">
        <v>35475.457999999999</v>
      </c>
      <c r="CN44" s="187">
        <v>1068140.6276249355</v>
      </c>
      <c r="CO44" s="184">
        <v>3</v>
      </c>
      <c r="CP44" s="184">
        <v>7068.5510000000004</v>
      </c>
      <c r="CQ44" s="184">
        <v>41523.597966449997</v>
      </c>
      <c r="CR44" s="184">
        <v>17610</v>
      </c>
      <c r="CS44" s="184">
        <v>17471.829880000001</v>
      </c>
      <c r="CT44" s="184">
        <v>309337.51781204058</v>
      </c>
      <c r="CU44" s="184">
        <v>5841168</v>
      </c>
      <c r="CV44" s="184">
        <v>17367.583999999999</v>
      </c>
      <c r="CW44" s="184">
        <v>838148.96193406219</v>
      </c>
      <c r="CX44" s="184">
        <v>2006060</v>
      </c>
      <c r="CY44" s="184">
        <v>2288.2969999999996</v>
      </c>
      <c r="CZ44" s="184">
        <v>184540.0191480502</v>
      </c>
      <c r="DA44" s="184">
        <v>7864841</v>
      </c>
      <c r="DB44" s="184">
        <v>44196.261879999998</v>
      </c>
      <c r="DC44" s="184">
        <v>1373550.0968606027</v>
      </c>
      <c r="DD44" s="184">
        <v>0</v>
      </c>
      <c r="DE44" s="184">
        <v>0</v>
      </c>
      <c r="DF44" s="184">
        <v>0</v>
      </c>
      <c r="DG44" s="184">
        <v>25635</v>
      </c>
      <c r="DH44" s="184">
        <v>25388.78</v>
      </c>
      <c r="DI44" s="184">
        <v>297729.08281964483</v>
      </c>
      <c r="DJ44" s="184">
        <v>7171511</v>
      </c>
      <c r="DK44" s="184">
        <v>19938.764999999999</v>
      </c>
      <c r="DL44" s="184">
        <v>1018524.278443617</v>
      </c>
      <c r="DM44" s="184">
        <v>2091107</v>
      </c>
      <c r="DN44" s="184">
        <v>2342.8199999999997</v>
      </c>
      <c r="DO44" s="184">
        <v>197202.95821756264</v>
      </c>
      <c r="DP44" s="184">
        <v>9288253</v>
      </c>
      <c r="DQ44" s="184">
        <v>47670.364999999998</v>
      </c>
      <c r="DR44" s="184">
        <v>1513456.3194808245</v>
      </c>
      <c r="DS44" s="184">
        <v>0</v>
      </c>
      <c r="DT44" s="184">
        <v>0</v>
      </c>
      <c r="DU44" s="184">
        <v>0</v>
      </c>
      <c r="DV44" s="184">
        <v>34920</v>
      </c>
      <c r="DW44" s="184">
        <v>42518.879999999997</v>
      </c>
      <c r="DX44" s="184">
        <v>440058.94317705266</v>
      </c>
      <c r="DY44" s="184">
        <v>8531628</v>
      </c>
      <c r="DZ44" s="184">
        <v>23855.435000000001</v>
      </c>
      <c r="EA44" s="184">
        <v>1322381.8398655441</v>
      </c>
      <c r="EB44" s="184">
        <v>2366508</v>
      </c>
      <c r="EC44" s="184">
        <v>2674.7740000000003</v>
      </c>
      <c r="ED44" s="184">
        <v>237702.02577829373</v>
      </c>
      <c r="EE44" s="184">
        <v>10933056</v>
      </c>
      <c r="EF44" s="184">
        <v>69049.089000000007</v>
      </c>
      <c r="EG44" s="184">
        <v>2000142.8088208903</v>
      </c>
    </row>
    <row r="45" spans="1:137" s="134" customFormat="1" x14ac:dyDescent="0.2">
      <c r="A45" s="108"/>
      <c r="B45" s="108" t="s">
        <v>68</v>
      </c>
      <c r="C45" s="201">
        <v>32087</v>
      </c>
      <c r="D45" s="201">
        <v>155286.76029946859</v>
      </c>
      <c r="E45" s="201">
        <v>208192.725035301</v>
      </c>
      <c r="F45" s="201">
        <v>187979</v>
      </c>
      <c r="G45" s="201">
        <v>33665.108999999997</v>
      </c>
      <c r="H45" s="201">
        <v>805745.40959770186</v>
      </c>
      <c r="I45" s="201">
        <v>3411787</v>
      </c>
      <c r="J45" s="201">
        <v>11095.692999999574</v>
      </c>
      <c r="K45" s="201">
        <v>273887.37527603598</v>
      </c>
      <c r="L45" s="201">
        <v>6394247</v>
      </c>
      <c r="M45" s="201">
        <v>16183.46089999982</v>
      </c>
      <c r="N45" s="201">
        <v>461628.50879798143</v>
      </c>
      <c r="O45" s="201">
        <v>10026100</v>
      </c>
      <c r="P45" s="201">
        <v>216231.02319946798</v>
      </c>
      <c r="Q45" s="201">
        <v>1749454.0187070202</v>
      </c>
      <c r="R45" s="202">
        <f t="shared" ref="R45:AF45" si="3">R35+R11+R44</f>
        <v>29944</v>
      </c>
      <c r="S45" s="202">
        <f t="shared" si="3"/>
        <v>212496.77292461469</v>
      </c>
      <c r="T45" s="202">
        <f t="shared" si="3"/>
        <v>241727.77292352385</v>
      </c>
      <c r="U45" s="202">
        <f t="shared" si="3"/>
        <v>304736</v>
      </c>
      <c r="V45" s="202">
        <f t="shared" si="3"/>
        <v>47917.449000000001</v>
      </c>
      <c r="W45" s="202">
        <f t="shared" si="3"/>
        <v>879931.43804639333</v>
      </c>
      <c r="X45" s="202">
        <f t="shared" si="3"/>
        <v>4452384</v>
      </c>
      <c r="Y45" s="202">
        <f t="shared" si="3"/>
        <v>11813.244000000001</v>
      </c>
      <c r="Z45" s="202">
        <f t="shared" si="3"/>
        <v>387329.39593599114</v>
      </c>
      <c r="AA45" s="202">
        <f t="shared" si="3"/>
        <v>6013380</v>
      </c>
      <c r="AB45" s="202">
        <f t="shared" si="3"/>
        <v>13272.066999999999</v>
      </c>
      <c r="AC45" s="202">
        <f t="shared" si="3"/>
        <v>474800.64912655397</v>
      </c>
      <c r="AD45" s="202">
        <f t="shared" si="3"/>
        <v>10800444</v>
      </c>
      <c r="AE45" s="202">
        <f t="shared" si="3"/>
        <v>285499.53292461473</v>
      </c>
      <c r="AF45" s="202">
        <f t="shared" si="3"/>
        <v>1983789.2560324622</v>
      </c>
      <c r="AG45" s="203">
        <v>433</v>
      </c>
      <c r="AH45" s="203">
        <v>273272</v>
      </c>
      <c r="AI45" s="203">
        <v>247404</v>
      </c>
      <c r="AJ45" s="203">
        <v>388568</v>
      </c>
      <c r="AK45" s="203">
        <v>57039</v>
      </c>
      <c r="AL45" s="203">
        <v>1162052</v>
      </c>
      <c r="AM45" s="203">
        <v>5085394</v>
      </c>
      <c r="AN45" s="203">
        <v>15855</v>
      </c>
      <c r="AO45" s="203">
        <v>463725</v>
      </c>
      <c r="AP45" s="203">
        <v>6341536</v>
      </c>
      <c r="AQ45" s="203">
        <v>12797</v>
      </c>
      <c r="AR45" s="203">
        <v>571573</v>
      </c>
      <c r="AS45" s="203">
        <v>11815931</v>
      </c>
      <c r="AT45" s="203">
        <v>358962</v>
      </c>
      <c r="AU45" s="203">
        <v>2444754</v>
      </c>
      <c r="AV45" s="203">
        <v>335</v>
      </c>
      <c r="AW45" s="203">
        <v>335014.93699999998</v>
      </c>
      <c r="AX45" s="203">
        <v>309047.59049874521</v>
      </c>
      <c r="AY45" s="203">
        <v>450500</v>
      </c>
      <c r="AZ45" s="203">
        <v>70469.05</v>
      </c>
      <c r="BA45" s="203">
        <v>1471765.9510505237</v>
      </c>
      <c r="BB45" s="203">
        <v>5099243</v>
      </c>
      <c r="BC45" s="203">
        <v>15971.79</v>
      </c>
      <c r="BD45" s="203">
        <v>691178.75314349635</v>
      </c>
      <c r="BE45" s="203">
        <v>7587350</v>
      </c>
      <c r="BF45" s="203">
        <v>15999.543000000001</v>
      </c>
      <c r="BG45" s="203">
        <v>567178.91710983589</v>
      </c>
      <c r="BH45" s="203">
        <v>13137428</v>
      </c>
      <c r="BI45" s="203">
        <v>437455.31999999995</v>
      </c>
      <c r="BJ45" s="203">
        <v>3039171.2118026013</v>
      </c>
      <c r="BK45" s="204">
        <v>263</v>
      </c>
      <c r="BL45" s="204">
        <v>359262.14299999998</v>
      </c>
      <c r="BM45" s="204">
        <v>398119.91340249998</v>
      </c>
      <c r="BN45" s="204">
        <v>645799</v>
      </c>
      <c r="BO45" s="204">
        <v>89448.262000000002</v>
      </c>
      <c r="BP45" s="204">
        <v>1775620.2595173037</v>
      </c>
      <c r="BQ45" s="204">
        <v>7315906.4819999998</v>
      </c>
      <c r="BR45" s="204">
        <v>21550.776574</v>
      </c>
      <c r="BS45" s="204">
        <v>790202.50522997649</v>
      </c>
      <c r="BT45" s="204">
        <v>6767787.5180000002</v>
      </c>
      <c r="BU45" s="204">
        <v>11724.701426</v>
      </c>
      <c r="BV45" s="204">
        <v>738921.08617956133</v>
      </c>
      <c r="BW45" s="204">
        <v>14729756</v>
      </c>
      <c r="BX45" s="204">
        <v>481985.88299999991</v>
      </c>
      <c r="BY45" s="204">
        <v>3702863.7643293417</v>
      </c>
      <c r="BZ45" s="205">
        <v>255</v>
      </c>
      <c r="CA45" s="205">
        <v>357116.97869999998</v>
      </c>
      <c r="CB45" s="205">
        <v>567210.20456480002</v>
      </c>
      <c r="CC45" s="205">
        <v>1090006</v>
      </c>
      <c r="CD45" s="205">
        <v>72853.959999999992</v>
      </c>
      <c r="CE45" s="205">
        <v>2167601.3856522785</v>
      </c>
      <c r="CF45" s="205">
        <v>8654216</v>
      </c>
      <c r="CG45" s="205">
        <v>26526.042000000001</v>
      </c>
      <c r="CH45" s="205">
        <v>1028003.7518501724</v>
      </c>
      <c r="CI45" s="205">
        <v>10937089</v>
      </c>
      <c r="CJ45" s="205">
        <v>15538.175999999999</v>
      </c>
      <c r="CK45" s="205">
        <v>724460.68772784225</v>
      </c>
      <c r="CL45" s="205">
        <v>20681566</v>
      </c>
      <c r="CM45" s="205">
        <v>472035.15669999999</v>
      </c>
      <c r="CN45" s="205">
        <v>4487276.0297950935</v>
      </c>
      <c r="CO45" s="206">
        <v>243</v>
      </c>
      <c r="CP45" s="206">
        <v>361971.34370000003</v>
      </c>
      <c r="CQ45" s="206">
        <v>492061.87099464994</v>
      </c>
      <c r="CR45" s="206">
        <v>760826</v>
      </c>
      <c r="CS45" s="206">
        <v>93516.724879999994</v>
      </c>
      <c r="CT45" s="206">
        <v>2588082.8138923249</v>
      </c>
      <c r="CU45" s="206">
        <v>10109103</v>
      </c>
      <c r="CV45" s="206">
        <v>30531.282999999999</v>
      </c>
      <c r="CW45" s="206">
        <v>1350772.6314022825</v>
      </c>
      <c r="CX45" s="206">
        <v>7062444</v>
      </c>
      <c r="CY45" s="206">
        <v>12694.078000000001</v>
      </c>
      <c r="CZ45" s="206">
        <v>644889.9426791697</v>
      </c>
      <c r="DA45" s="206">
        <v>17932616</v>
      </c>
      <c r="DB45" s="206">
        <v>498713.42958</v>
      </c>
      <c r="DC45" s="206">
        <v>5075807.2589684268</v>
      </c>
      <c r="DD45" s="206">
        <v>113</v>
      </c>
      <c r="DE45" s="206">
        <v>342913.804</v>
      </c>
      <c r="DF45" s="206">
        <v>429000.05098</v>
      </c>
      <c r="DG45" s="206">
        <v>909074</v>
      </c>
      <c r="DH45" s="206">
        <v>118694.609</v>
      </c>
      <c r="DI45" s="206">
        <v>2810808.7489252547</v>
      </c>
      <c r="DJ45" s="206">
        <v>12621776</v>
      </c>
      <c r="DK45" s="206">
        <v>36390.133000000002</v>
      </c>
      <c r="DL45" s="206">
        <v>1720724.8816305245</v>
      </c>
      <c r="DM45" s="206">
        <v>10208415</v>
      </c>
      <c r="DN45" s="206">
        <v>16748.514999999999</v>
      </c>
      <c r="DO45" s="206">
        <v>863251.82118173083</v>
      </c>
      <c r="DP45" s="206">
        <v>23739378</v>
      </c>
      <c r="DQ45" s="206">
        <v>514747.06099999999</v>
      </c>
      <c r="DR45" s="206">
        <v>5823785.5027175099</v>
      </c>
      <c r="DS45" s="206">
        <v>62</v>
      </c>
      <c r="DT45" s="206">
        <v>306507.973</v>
      </c>
      <c r="DU45" s="206">
        <v>607586.59703169996</v>
      </c>
      <c r="DV45" s="206">
        <v>699650</v>
      </c>
      <c r="DW45" s="206">
        <v>162287.89899999998</v>
      </c>
      <c r="DX45" s="206">
        <v>3689058.3268338181</v>
      </c>
      <c r="DY45" s="206">
        <v>14098776</v>
      </c>
      <c r="DZ45" s="206">
        <v>40663.622000000003</v>
      </c>
      <c r="EA45" s="206">
        <v>2152301.8134177304</v>
      </c>
      <c r="EB45" s="206">
        <v>7826591</v>
      </c>
      <c r="EC45" s="206">
        <v>10959.221000000001</v>
      </c>
      <c r="ED45" s="206">
        <v>856205.00640186295</v>
      </c>
      <c r="EE45" s="206">
        <v>22625079</v>
      </c>
      <c r="EF45" s="206">
        <v>520418.71500000003</v>
      </c>
      <c r="EG45" s="206">
        <v>7305151.7436851095</v>
      </c>
    </row>
    <row r="46" spans="1:137" x14ac:dyDescent="0.2">
      <c r="A46" s="124" t="s">
        <v>69</v>
      </c>
      <c r="B46" s="124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</row>
    <row r="47" spans="1:137" x14ac:dyDescent="0.2">
      <c r="A47" s="124" t="s">
        <v>70</v>
      </c>
      <c r="B47" s="124"/>
    </row>
    <row r="48" spans="1:137" x14ac:dyDescent="0.2"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</row>
  </sheetData>
  <mergeCells count="56">
    <mergeCell ref="DP4:DR4"/>
    <mergeCell ref="DS4:DU4"/>
    <mergeCell ref="DV4:DX4"/>
    <mergeCell ref="DY4:EA4"/>
    <mergeCell ref="EB4:ED4"/>
    <mergeCell ref="EE4:EG4"/>
    <mergeCell ref="CX4:CZ4"/>
    <mergeCell ref="DA4:DC4"/>
    <mergeCell ref="DD4:DF4"/>
    <mergeCell ref="DG4:DI4"/>
    <mergeCell ref="DJ4:DL4"/>
    <mergeCell ref="DM4:DO4"/>
    <mergeCell ref="CF4:CH4"/>
    <mergeCell ref="CI4:CK4"/>
    <mergeCell ref="CL4:CN4"/>
    <mergeCell ref="CO4:CQ4"/>
    <mergeCell ref="CR4:CT4"/>
    <mergeCell ref="CU4:CW4"/>
    <mergeCell ref="BN4:BP4"/>
    <mergeCell ref="BQ4:BS4"/>
    <mergeCell ref="BT4:BV4"/>
    <mergeCell ref="BW4:BY4"/>
    <mergeCell ref="BZ4:CB4"/>
    <mergeCell ref="CC4:CE4"/>
    <mergeCell ref="AV4:AX4"/>
    <mergeCell ref="AY4:BA4"/>
    <mergeCell ref="BB4:BD4"/>
    <mergeCell ref="BE4:BG4"/>
    <mergeCell ref="BH4:BJ4"/>
    <mergeCell ref="BK4:BM4"/>
    <mergeCell ref="AD4:AF4"/>
    <mergeCell ref="AG4:AI4"/>
    <mergeCell ref="AJ4:AL4"/>
    <mergeCell ref="AM4:AO4"/>
    <mergeCell ref="AP4:AR4"/>
    <mergeCell ref="AS4:AU4"/>
    <mergeCell ref="BK3:BY3"/>
    <mergeCell ref="BZ3:CN3"/>
    <mergeCell ref="CO3:DC3"/>
    <mergeCell ref="DD3:DR3"/>
    <mergeCell ref="DS3:EG3"/>
    <mergeCell ref="C4:E4"/>
    <mergeCell ref="F4:H4"/>
    <mergeCell ref="I4:K4"/>
    <mergeCell ref="L4:N4"/>
    <mergeCell ref="O4:Q4"/>
    <mergeCell ref="A3:A5"/>
    <mergeCell ref="B3:B5"/>
    <mergeCell ref="C3:Q3"/>
    <mergeCell ref="R3:AF3"/>
    <mergeCell ref="AG3:AU3"/>
    <mergeCell ref="AV3:BJ3"/>
    <mergeCell ref="R4:T4"/>
    <mergeCell ref="U4:W4"/>
    <mergeCell ref="X4:Z4"/>
    <mergeCell ref="AA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5DD2-3FC9-4270-832A-ED45BF315685}">
  <dimension ref="A1:EG50"/>
  <sheetViews>
    <sheetView workbookViewId="0">
      <selection activeCell="N5" sqref="N5"/>
    </sheetView>
  </sheetViews>
  <sheetFormatPr defaultRowHeight="12.75" x14ac:dyDescent="0.2"/>
  <cols>
    <col min="1" max="1" width="4.85546875" style="2" customWidth="1"/>
    <col min="2" max="2" width="35.85546875" style="2" customWidth="1"/>
    <col min="3" max="17" width="9.42578125" style="125" customWidth="1"/>
    <col min="18" max="92" width="9.140625" style="2"/>
    <col min="93" max="94" width="9.7109375" style="128" customWidth="1"/>
    <col min="95" max="95" width="9.7109375" style="129" customWidth="1"/>
    <col min="96" max="97" width="9.7109375" style="128" customWidth="1"/>
    <col min="98" max="98" width="9.7109375" style="129" customWidth="1"/>
    <col min="99" max="100" width="9.7109375" style="128" customWidth="1"/>
    <col min="101" max="101" width="9.7109375" style="129" customWidth="1"/>
    <col min="102" max="103" width="9.7109375" style="128" customWidth="1"/>
    <col min="104" max="104" width="9.7109375" style="129" customWidth="1"/>
    <col min="105" max="105" width="14.42578125" style="128" customWidth="1"/>
    <col min="106" max="106" width="14" style="128" customWidth="1"/>
    <col min="107" max="107" width="9.7109375" style="132" customWidth="1"/>
    <col min="108" max="109" width="9.7109375" style="128" customWidth="1"/>
    <col min="110" max="110" width="9.7109375" style="129" customWidth="1"/>
    <col min="111" max="112" width="9.7109375" style="128" customWidth="1"/>
    <col min="113" max="113" width="9.7109375" style="129" customWidth="1"/>
    <col min="114" max="115" width="9.7109375" style="128" customWidth="1"/>
    <col min="116" max="116" width="9.7109375" style="129" customWidth="1"/>
    <col min="117" max="118" width="9.7109375" style="128" customWidth="1"/>
    <col min="119" max="119" width="9.7109375" style="129" customWidth="1"/>
    <col min="120" max="120" width="11" style="128" bestFit="1" customWidth="1"/>
    <col min="121" max="121" width="8.5703125" style="128" bestFit="1" customWidth="1"/>
    <col min="122" max="122" width="9.7109375" style="132" customWidth="1"/>
    <col min="123" max="124" width="9.7109375" style="128" customWidth="1"/>
    <col min="125" max="125" width="9.7109375" style="129" customWidth="1"/>
    <col min="126" max="127" width="9.7109375" style="128" customWidth="1"/>
    <col min="128" max="128" width="9.7109375" style="129" customWidth="1"/>
    <col min="129" max="130" width="9.7109375" style="128" customWidth="1"/>
    <col min="131" max="131" width="9.7109375" style="129" customWidth="1"/>
    <col min="132" max="133" width="9.7109375" style="128" customWidth="1"/>
    <col min="134" max="134" width="9.7109375" style="129" customWidth="1"/>
    <col min="135" max="135" width="11" style="128" bestFit="1" customWidth="1"/>
    <col min="136" max="136" width="8.5703125" style="128" bestFit="1" customWidth="1"/>
    <col min="137" max="137" width="9.7109375" style="132" customWidth="1"/>
    <col min="138" max="242" width="9.140625" style="2"/>
    <col min="243" max="243" width="16" style="2" customWidth="1"/>
    <col min="244" max="247" width="10.7109375" style="2" customWidth="1"/>
    <col min="248" max="248" width="12.140625" style="2" customWidth="1"/>
    <col min="249" max="255" width="10.7109375" style="2" customWidth="1"/>
    <col min="256" max="256" width="12.85546875" style="2" customWidth="1"/>
    <col min="257" max="257" width="13.28515625" style="2" customWidth="1"/>
    <col min="258" max="258" width="9.5703125" style="2" customWidth="1"/>
    <col min="259" max="498" width="9.140625" style="2"/>
    <col min="499" max="499" width="16" style="2" customWidth="1"/>
    <col min="500" max="503" width="10.7109375" style="2" customWidth="1"/>
    <col min="504" max="504" width="12.140625" style="2" customWidth="1"/>
    <col min="505" max="511" width="10.7109375" style="2" customWidth="1"/>
    <col min="512" max="512" width="12.85546875" style="2" customWidth="1"/>
    <col min="513" max="513" width="13.28515625" style="2" customWidth="1"/>
    <col min="514" max="514" width="9.5703125" style="2" customWidth="1"/>
    <col min="515" max="754" width="9.140625" style="2"/>
    <col min="755" max="755" width="16" style="2" customWidth="1"/>
    <col min="756" max="759" width="10.7109375" style="2" customWidth="1"/>
    <col min="760" max="760" width="12.140625" style="2" customWidth="1"/>
    <col min="761" max="767" width="10.7109375" style="2" customWidth="1"/>
    <col min="768" max="768" width="12.85546875" style="2" customWidth="1"/>
    <col min="769" max="769" width="13.28515625" style="2" customWidth="1"/>
    <col min="770" max="770" width="9.5703125" style="2" customWidth="1"/>
    <col min="771" max="1010" width="9.140625" style="2"/>
    <col min="1011" max="1011" width="16" style="2" customWidth="1"/>
    <col min="1012" max="1015" width="10.7109375" style="2" customWidth="1"/>
    <col min="1016" max="1016" width="12.140625" style="2" customWidth="1"/>
    <col min="1017" max="1023" width="10.7109375" style="2" customWidth="1"/>
    <col min="1024" max="1024" width="12.85546875" style="2" customWidth="1"/>
    <col min="1025" max="1025" width="13.28515625" style="2" customWidth="1"/>
    <col min="1026" max="1026" width="9.5703125" style="2" customWidth="1"/>
    <col min="1027" max="1266" width="9.140625" style="2"/>
    <col min="1267" max="1267" width="16" style="2" customWidth="1"/>
    <col min="1268" max="1271" width="10.7109375" style="2" customWidth="1"/>
    <col min="1272" max="1272" width="12.140625" style="2" customWidth="1"/>
    <col min="1273" max="1279" width="10.7109375" style="2" customWidth="1"/>
    <col min="1280" max="1280" width="12.85546875" style="2" customWidth="1"/>
    <col min="1281" max="1281" width="13.28515625" style="2" customWidth="1"/>
    <col min="1282" max="1282" width="9.5703125" style="2" customWidth="1"/>
    <col min="1283" max="1522" width="9.140625" style="2"/>
    <col min="1523" max="1523" width="16" style="2" customWidth="1"/>
    <col min="1524" max="1527" width="10.7109375" style="2" customWidth="1"/>
    <col min="1528" max="1528" width="12.140625" style="2" customWidth="1"/>
    <col min="1529" max="1535" width="10.7109375" style="2" customWidth="1"/>
    <col min="1536" max="1536" width="12.85546875" style="2" customWidth="1"/>
    <col min="1537" max="1537" width="13.28515625" style="2" customWidth="1"/>
    <col min="1538" max="1538" width="9.5703125" style="2" customWidth="1"/>
    <col min="1539" max="1778" width="9.140625" style="2"/>
    <col min="1779" max="1779" width="16" style="2" customWidth="1"/>
    <col min="1780" max="1783" width="10.7109375" style="2" customWidth="1"/>
    <col min="1784" max="1784" width="12.140625" style="2" customWidth="1"/>
    <col min="1785" max="1791" width="10.7109375" style="2" customWidth="1"/>
    <col min="1792" max="1792" width="12.85546875" style="2" customWidth="1"/>
    <col min="1793" max="1793" width="13.28515625" style="2" customWidth="1"/>
    <col min="1794" max="1794" width="9.5703125" style="2" customWidth="1"/>
    <col min="1795" max="2034" width="9.140625" style="2"/>
    <col min="2035" max="2035" width="16" style="2" customWidth="1"/>
    <col min="2036" max="2039" width="10.7109375" style="2" customWidth="1"/>
    <col min="2040" max="2040" width="12.140625" style="2" customWidth="1"/>
    <col min="2041" max="2047" width="10.7109375" style="2" customWidth="1"/>
    <col min="2048" max="2048" width="12.85546875" style="2" customWidth="1"/>
    <col min="2049" max="2049" width="13.28515625" style="2" customWidth="1"/>
    <col min="2050" max="2050" width="9.5703125" style="2" customWidth="1"/>
    <col min="2051" max="2290" width="9.140625" style="2"/>
    <col min="2291" max="2291" width="16" style="2" customWidth="1"/>
    <col min="2292" max="2295" width="10.7109375" style="2" customWidth="1"/>
    <col min="2296" max="2296" width="12.140625" style="2" customWidth="1"/>
    <col min="2297" max="2303" width="10.7109375" style="2" customWidth="1"/>
    <col min="2304" max="2304" width="12.85546875" style="2" customWidth="1"/>
    <col min="2305" max="2305" width="13.28515625" style="2" customWidth="1"/>
    <col min="2306" max="2306" width="9.5703125" style="2" customWidth="1"/>
    <col min="2307" max="2546" width="9.140625" style="2"/>
    <col min="2547" max="2547" width="16" style="2" customWidth="1"/>
    <col min="2548" max="2551" width="10.7109375" style="2" customWidth="1"/>
    <col min="2552" max="2552" width="12.140625" style="2" customWidth="1"/>
    <col min="2553" max="2559" width="10.7109375" style="2" customWidth="1"/>
    <col min="2560" max="2560" width="12.85546875" style="2" customWidth="1"/>
    <col min="2561" max="2561" width="13.28515625" style="2" customWidth="1"/>
    <col min="2562" max="2562" width="9.5703125" style="2" customWidth="1"/>
    <col min="2563" max="2802" width="9.140625" style="2"/>
    <col min="2803" max="2803" width="16" style="2" customWidth="1"/>
    <col min="2804" max="2807" width="10.7109375" style="2" customWidth="1"/>
    <col min="2808" max="2808" width="12.140625" style="2" customWidth="1"/>
    <col min="2809" max="2815" width="10.7109375" style="2" customWidth="1"/>
    <col min="2816" max="2816" width="12.85546875" style="2" customWidth="1"/>
    <col min="2817" max="2817" width="13.28515625" style="2" customWidth="1"/>
    <col min="2818" max="2818" width="9.5703125" style="2" customWidth="1"/>
    <col min="2819" max="3058" width="9.140625" style="2"/>
    <col min="3059" max="3059" width="16" style="2" customWidth="1"/>
    <col min="3060" max="3063" width="10.7109375" style="2" customWidth="1"/>
    <col min="3064" max="3064" width="12.140625" style="2" customWidth="1"/>
    <col min="3065" max="3071" width="10.7109375" style="2" customWidth="1"/>
    <col min="3072" max="3072" width="12.85546875" style="2" customWidth="1"/>
    <col min="3073" max="3073" width="13.28515625" style="2" customWidth="1"/>
    <col min="3074" max="3074" width="9.5703125" style="2" customWidth="1"/>
    <col min="3075" max="3314" width="9.140625" style="2"/>
    <col min="3315" max="3315" width="16" style="2" customWidth="1"/>
    <col min="3316" max="3319" width="10.7109375" style="2" customWidth="1"/>
    <col min="3320" max="3320" width="12.140625" style="2" customWidth="1"/>
    <col min="3321" max="3327" width="10.7109375" style="2" customWidth="1"/>
    <col min="3328" max="3328" width="12.85546875" style="2" customWidth="1"/>
    <col min="3329" max="3329" width="13.28515625" style="2" customWidth="1"/>
    <col min="3330" max="3330" width="9.5703125" style="2" customWidth="1"/>
    <col min="3331" max="3570" width="9.140625" style="2"/>
    <col min="3571" max="3571" width="16" style="2" customWidth="1"/>
    <col min="3572" max="3575" width="10.7109375" style="2" customWidth="1"/>
    <col min="3576" max="3576" width="12.140625" style="2" customWidth="1"/>
    <col min="3577" max="3583" width="10.7109375" style="2" customWidth="1"/>
    <col min="3584" max="3584" width="12.85546875" style="2" customWidth="1"/>
    <col min="3585" max="3585" width="13.28515625" style="2" customWidth="1"/>
    <col min="3586" max="3586" width="9.5703125" style="2" customWidth="1"/>
    <col min="3587" max="3826" width="9.140625" style="2"/>
    <col min="3827" max="3827" width="16" style="2" customWidth="1"/>
    <col min="3828" max="3831" width="10.7109375" style="2" customWidth="1"/>
    <col min="3832" max="3832" width="12.140625" style="2" customWidth="1"/>
    <col min="3833" max="3839" width="10.7109375" style="2" customWidth="1"/>
    <col min="3840" max="3840" width="12.85546875" style="2" customWidth="1"/>
    <col min="3841" max="3841" width="13.28515625" style="2" customWidth="1"/>
    <col min="3842" max="3842" width="9.5703125" style="2" customWidth="1"/>
    <col min="3843" max="4082" width="9.140625" style="2"/>
    <col min="4083" max="4083" width="16" style="2" customWidth="1"/>
    <col min="4084" max="4087" width="10.7109375" style="2" customWidth="1"/>
    <col min="4088" max="4088" width="12.140625" style="2" customWidth="1"/>
    <col min="4089" max="4095" width="10.7109375" style="2" customWidth="1"/>
    <col min="4096" max="4096" width="12.85546875" style="2" customWidth="1"/>
    <col min="4097" max="4097" width="13.28515625" style="2" customWidth="1"/>
    <col min="4098" max="4098" width="9.5703125" style="2" customWidth="1"/>
    <col min="4099" max="4338" width="9.140625" style="2"/>
    <col min="4339" max="4339" width="16" style="2" customWidth="1"/>
    <col min="4340" max="4343" width="10.7109375" style="2" customWidth="1"/>
    <col min="4344" max="4344" width="12.140625" style="2" customWidth="1"/>
    <col min="4345" max="4351" width="10.7109375" style="2" customWidth="1"/>
    <col min="4352" max="4352" width="12.85546875" style="2" customWidth="1"/>
    <col min="4353" max="4353" width="13.28515625" style="2" customWidth="1"/>
    <col min="4354" max="4354" width="9.5703125" style="2" customWidth="1"/>
    <col min="4355" max="4594" width="9.140625" style="2"/>
    <col min="4595" max="4595" width="16" style="2" customWidth="1"/>
    <col min="4596" max="4599" width="10.7109375" style="2" customWidth="1"/>
    <col min="4600" max="4600" width="12.140625" style="2" customWidth="1"/>
    <col min="4601" max="4607" width="10.7109375" style="2" customWidth="1"/>
    <col min="4608" max="4608" width="12.85546875" style="2" customWidth="1"/>
    <col min="4609" max="4609" width="13.28515625" style="2" customWidth="1"/>
    <col min="4610" max="4610" width="9.5703125" style="2" customWidth="1"/>
    <col min="4611" max="4850" width="9.140625" style="2"/>
    <col min="4851" max="4851" width="16" style="2" customWidth="1"/>
    <col min="4852" max="4855" width="10.7109375" style="2" customWidth="1"/>
    <col min="4856" max="4856" width="12.140625" style="2" customWidth="1"/>
    <col min="4857" max="4863" width="10.7109375" style="2" customWidth="1"/>
    <col min="4864" max="4864" width="12.85546875" style="2" customWidth="1"/>
    <col min="4865" max="4865" width="13.28515625" style="2" customWidth="1"/>
    <col min="4866" max="4866" width="9.5703125" style="2" customWidth="1"/>
    <col min="4867" max="5106" width="9.140625" style="2"/>
    <col min="5107" max="5107" width="16" style="2" customWidth="1"/>
    <col min="5108" max="5111" width="10.7109375" style="2" customWidth="1"/>
    <col min="5112" max="5112" width="12.140625" style="2" customWidth="1"/>
    <col min="5113" max="5119" width="10.7109375" style="2" customWidth="1"/>
    <col min="5120" max="5120" width="12.85546875" style="2" customWidth="1"/>
    <col min="5121" max="5121" width="13.28515625" style="2" customWidth="1"/>
    <col min="5122" max="5122" width="9.5703125" style="2" customWidth="1"/>
    <col min="5123" max="5362" width="9.140625" style="2"/>
    <col min="5363" max="5363" width="16" style="2" customWidth="1"/>
    <col min="5364" max="5367" width="10.7109375" style="2" customWidth="1"/>
    <col min="5368" max="5368" width="12.140625" style="2" customWidth="1"/>
    <col min="5369" max="5375" width="10.7109375" style="2" customWidth="1"/>
    <col min="5376" max="5376" width="12.85546875" style="2" customWidth="1"/>
    <col min="5377" max="5377" width="13.28515625" style="2" customWidth="1"/>
    <col min="5378" max="5378" width="9.5703125" style="2" customWidth="1"/>
    <col min="5379" max="5618" width="9.140625" style="2"/>
    <col min="5619" max="5619" width="16" style="2" customWidth="1"/>
    <col min="5620" max="5623" width="10.7109375" style="2" customWidth="1"/>
    <col min="5624" max="5624" width="12.140625" style="2" customWidth="1"/>
    <col min="5625" max="5631" width="10.7109375" style="2" customWidth="1"/>
    <col min="5632" max="5632" width="12.85546875" style="2" customWidth="1"/>
    <col min="5633" max="5633" width="13.28515625" style="2" customWidth="1"/>
    <col min="5634" max="5634" width="9.5703125" style="2" customWidth="1"/>
    <col min="5635" max="5874" width="9.140625" style="2"/>
    <col min="5875" max="5875" width="16" style="2" customWidth="1"/>
    <col min="5876" max="5879" width="10.7109375" style="2" customWidth="1"/>
    <col min="5880" max="5880" width="12.140625" style="2" customWidth="1"/>
    <col min="5881" max="5887" width="10.7109375" style="2" customWidth="1"/>
    <col min="5888" max="5888" width="12.85546875" style="2" customWidth="1"/>
    <col min="5889" max="5889" width="13.28515625" style="2" customWidth="1"/>
    <col min="5890" max="5890" width="9.5703125" style="2" customWidth="1"/>
    <col min="5891" max="6130" width="9.140625" style="2"/>
    <col min="6131" max="6131" width="16" style="2" customWidth="1"/>
    <col min="6132" max="6135" width="10.7109375" style="2" customWidth="1"/>
    <col min="6136" max="6136" width="12.140625" style="2" customWidth="1"/>
    <col min="6137" max="6143" width="10.7109375" style="2" customWidth="1"/>
    <col min="6144" max="6144" width="12.85546875" style="2" customWidth="1"/>
    <col min="6145" max="6145" width="13.28515625" style="2" customWidth="1"/>
    <col min="6146" max="6146" width="9.5703125" style="2" customWidth="1"/>
    <col min="6147" max="6386" width="9.140625" style="2"/>
    <col min="6387" max="6387" width="16" style="2" customWidth="1"/>
    <col min="6388" max="6391" width="10.7109375" style="2" customWidth="1"/>
    <col min="6392" max="6392" width="12.140625" style="2" customWidth="1"/>
    <col min="6393" max="6399" width="10.7109375" style="2" customWidth="1"/>
    <col min="6400" max="6400" width="12.85546875" style="2" customWidth="1"/>
    <col min="6401" max="6401" width="13.28515625" style="2" customWidth="1"/>
    <col min="6402" max="6402" width="9.5703125" style="2" customWidth="1"/>
    <col min="6403" max="6642" width="9.140625" style="2"/>
    <col min="6643" max="6643" width="16" style="2" customWidth="1"/>
    <col min="6644" max="6647" width="10.7109375" style="2" customWidth="1"/>
    <col min="6648" max="6648" width="12.140625" style="2" customWidth="1"/>
    <col min="6649" max="6655" width="10.7109375" style="2" customWidth="1"/>
    <col min="6656" max="6656" width="12.85546875" style="2" customWidth="1"/>
    <col min="6657" max="6657" width="13.28515625" style="2" customWidth="1"/>
    <col min="6658" max="6658" width="9.5703125" style="2" customWidth="1"/>
    <col min="6659" max="6898" width="9.140625" style="2"/>
    <col min="6899" max="6899" width="16" style="2" customWidth="1"/>
    <col min="6900" max="6903" width="10.7109375" style="2" customWidth="1"/>
    <col min="6904" max="6904" width="12.140625" style="2" customWidth="1"/>
    <col min="6905" max="6911" width="10.7109375" style="2" customWidth="1"/>
    <col min="6912" max="6912" width="12.85546875" style="2" customWidth="1"/>
    <col min="6913" max="6913" width="13.28515625" style="2" customWidth="1"/>
    <col min="6914" max="6914" width="9.5703125" style="2" customWidth="1"/>
    <col min="6915" max="7154" width="9.140625" style="2"/>
    <col min="7155" max="7155" width="16" style="2" customWidth="1"/>
    <col min="7156" max="7159" width="10.7109375" style="2" customWidth="1"/>
    <col min="7160" max="7160" width="12.140625" style="2" customWidth="1"/>
    <col min="7161" max="7167" width="10.7109375" style="2" customWidth="1"/>
    <col min="7168" max="7168" width="12.85546875" style="2" customWidth="1"/>
    <col min="7169" max="7169" width="13.28515625" style="2" customWidth="1"/>
    <col min="7170" max="7170" width="9.5703125" style="2" customWidth="1"/>
    <col min="7171" max="7410" width="9.140625" style="2"/>
    <col min="7411" max="7411" width="16" style="2" customWidth="1"/>
    <col min="7412" max="7415" width="10.7109375" style="2" customWidth="1"/>
    <col min="7416" max="7416" width="12.140625" style="2" customWidth="1"/>
    <col min="7417" max="7423" width="10.7109375" style="2" customWidth="1"/>
    <col min="7424" max="7424" width="12.85546875" style="2" customWidth="1"/>
    <col min="7425" max="7425" width="13.28515625" style="2" customWidth="1"/>
    <col min="7426" max="7426" width="9.5703125" style="2" customWidth="1"/>
    <col min="7427" max="7666" width="9.140625" style="2"/>
    <col min="7667" max="7667" width="16" style="2" customWidth="1"/>
    <col min="7668" max="7671" width="10.7109375" style="2" customWidth="1"/>
    <col min="7672" max="7672" width="12.140625" style="2" customWidth="1"/>
    <col min="7673" max="7679" width="10.7109375" style="2" customWidth="1"/>
    <col min="7680" max="7680" width="12.85546875" style="2" customWidth="1"/>
    <col min="7681" max="7681" width="13.28515625" style="2" customWidth="1"/>
    <col min="7682" max="7682" width="9.5703125" style="2" customWidth="1"/>
    <col min="7683" max="7922" width="9.140625" style="2"/>
    <col min="7923" max="7923" width="16" style="2" customWidth="1"/>
    <col min="7924" max="7927" width="10.7109375" style="2" customWidth="1"/>
    <col min="7928" max="7928" width="12.140625" style="2" customWidth="1"/>
    <col min="7929" max="7935" width="10.7109375" style="2" customWidth="1"/>
    <col min="7936" max="7936" width="12.85546875" style="2" customWidth="1"/>
    <col min="7937" max="7937" width="13.28515625" style="2" customWidth="1"/>
    <col min="7938" max="7938" width="9.5703125" style="2" customWidth="1"/>
    <col min="7939" max="8178" width="9.140625" style="2"/>
    <col min="8179" max="8179" width="16" style="2" customWidth="1"/>
    <col min="8180" max="8183" width="10.7109375" style="2" customWidth="1"/>
    <col min="8184" max="8184" width="12.140625" style="2" customWidth="1"/>
    <col min="8185" max="8191" width="10.7109375" style="2" customWidth="1"/>
    <col min="8192" max="8192" width="12.85546875" style="2" customWidth="1"/>
    <col min="8193" max="8193" width="13.28515625" style="2" customWidth="1"/>
    <col min="8194" max="8194" width="9.5703125" style="2" customWidth="1"/>
    <col min="8195" max="8434" width="9.140625" style="2"/>
    <col min="8435" max="8435" width="16" style="2" customWidth="1"/>
    <col min="8436" max="8439" width="10.7109375" style="2" customWidth="1"/>
    <col min="8440" max="8440" width="12.140625" style="2" customWidth="1"/>
    <col min="8441" max="8447" width="10.7109375" style="2" customWidth="1"/>
    <col min="8448" max="8448" width="12.85546875" style="2" customWidth="1"/>
    <col min="8449" max="8449" width="13.28515625" style="2" customWidth="1"/>
    <col min="8450" max="8450" width="9.5703125" style="2" customWidth="1"/>
    <col min="8451" max="8690" width="9.140625" style="2"/>
    <col min="8691" max="8691" width="16" style="2" customWidth="1"/>
    <col min="8692" max="8695" width="10.7109375" style="2" customWidth="1"/>
    <col min="8696" max="8696" width="12.140625" style="2" customWidth="1"/>
    <col min="8697" max="8703" width="10.7109375" style="2" customWidth="1"/>
    <col min="8704" max="8704" width="12.85546875" style="2" customWidth="1"/>
    <col min="8705" max="8705" width="13.28515625" style="2" customWidth="1"/>
    <col min="8706" max="8706" width="9.5703125" style="2" customWidth="1"/>
    <col min="8707" max="8946" width="9.140625" style="2"/>
    <col min="8947" max="8947" width="16" style="2" customWidth="1"/>
    <col min="8948" max="8951" width="10.7109375" style="2" customWidth="1"/>
    <col min="8952" max="8952" width="12.140625" style="2" customWidth="1"/>
    <col min="8953" max="8959" width="10.7109375" style="2" customWidth="1"/>
    <col min="8960" max="8960" width="12.85546875" style="2" customWidth="1"/>
    <col min="8961" max="8961" width="13.28515625" style="2" customWidth="1"/>
    <col min="8962" max="8962" width="9.5703125" style="2" customWidth="1"/>
    <col min="8963" max="9202" width="9.140625" style="2"/>
    <col min="9203" max="9203" width="16" style="2" customWidth="1"/>
    <col min="9204" max="9207" width="10.7109375" style="2" customWidth="1"/>
    <col min="9208" max="9208" width="12.140625" style="2" customWidth="1"/>
    <col min="9209" max="9215" width="10.7109375" style="2" customWidth="1"/>
    <col min="9216" max="9216" width="12.85546875" style="2" customWidth="1"/>
    <col min="9217" max="9217" width="13.28515625" style="2" customWidth="1"/>
    <col min="9218" max="9218" width="9.5703125" style="2" customWidth="1"/>
    <col min="9219" max="9458" width="9.140625" style="2"/>
    <col min="9459" max="9459" width="16" style="2" customWidth="1"/>
    <col min="9460" max="9463" width="10.7109375" style="2" customWidth="1"/>
    <col min="9464" max="9464" width="12.140625" style="2" customWidth="1"/>
    <col min="9465" max="9471" width="10.7109375" style="2" customWidth="1"/>
    <col min="9472" max="9472" width="12.85546875" style="2" customWidth="1"/>
    <col min="9473" max="9473" width="13.28515625" style="2" customWidth="1"/>
    <col min="9474" max="9474" width="9.5703125" style="2" customWidth="1"/>
    <col min="9475" max="9714" width="9.140625" style="2"/>
    <col min="9715" max="9715" width="16" style="2" customWidth="1"/>
    <col min="9716" max="9719" width="10.7109375" style="2" customWidth="1"/>
    <col min="9720" max="9720" width="12.140625" style="2" customWidth="1"/>
    <col min="9721" max="9727" width="10.7109375" style="2" customWidth="1"/>
    <col min="9728" max="9728" width="12.85546875" style="2" customWidth="1"/>
    <col min="9729" max="9729" width="13.28515625" style="2" customWidth="1"/>
    <col min="9730" max="9730" width="9.5703125" style="2" customWidth="1"/>
    <col min="9731" max="9970" width="9.140625" style="2"/>
    <col min="9971" max="9971" width="16" style="2" customWidth="1"/>
    <col min="9972" max="9975" width="10.7109375" style="2" customWidth="1"/>
    <col min="9976" max="9976" width="12.140625" style="2" customWidth="1"/>
    <col min="9977" max="9983" width="10.7109375" style="2" customWidth="1"/>
    <col min="9984" max="9984" width="12.85546875" style="2" customWidth="1"/>
    <col min="9985" max="9985" width="13.28515625" style="2" customWidth="1"/>
    <col min="9986" max="9986" width="9.5703125" style="2" customWidth="1"/>
    <col min="9987" max="10226" width="9.140625" style="2"/>
    <col min="10227" max="10227" width="16" style="2" customWidth="1"/>
    <col min="10228" max="10231" width="10.7109375" style="2" customWidth="1"/>
    <col min="10232" max="10232" width="12.140625" style="2" customWidth="1"/>
    <col min="10233" max="10239" width="10.7109375" style="2" customWidth="1"/>
    <col min="10240" max="10240" width="12.85546875" style="2" customWidth="1"/>
    <col min="10241" max="10241" width="13.28515625" style="2" customWidth="1"/>
    <col min="10242" max="10242" width="9.5703125" style="2" customWidth="1"/>
    <col min="10243" max="10482" width="9.140625" style="2"/>
    <col min="10483" max="10483" width="16" style="2" customWidth="1"/>
    <col min="10484" max="10487" width="10.7109375" style="2" customWidth="1"/>
    <col min="10488" max="10488" width="12.140625" style="2" customWidth="1"/>
    <col min="10489" max="10495" width="10.7109375" style="2" customWidth="1"/>
    <col min="10496" max="10496" width="12.85546875" style="2" customWidth="1"/>
    <col min="10497" max="10497" width="13.28515625" style="2" customWidth="1"/>
    <col min="10498" max="10498" width="9.5703125" style="2" customWidth="1"/>
    <col min="10499" max="10738" width="9.140625" style="2"/>
    <col min="10739" max="10739" width="16" style="2" customWidth="1"/>
    <col min="10740" max="10743" width="10.7109375" style="2" customWidth="1"/>
    <col min="10744" max="10744" width="12.140625" style="2" customWidth="1"/>
    <col min="10745" max="10751" width="10.7109375" style="2" customWidth="1"/>
    <col min="10752" max="10752" width="12.85546875" style="2" customWidth="1"/>
    <col min="10753" max="10753" width="13.28515625" style="2" customWidth="1"/>
    <col min="10754" max="10754" width="9.5703125" style="2" customWidth="1"/>
    <col min="10755" max="10994" width="9.140625" style="2"/>
    <col min="10995" max="10995" width="16" style="2" customWidth="1"/>
    <col min="10996" max="10999" width="10.7109375" style="2" customWidth="1"/>
    <col min="11000" max="11000" width="12.140625" style="2" customWidth="1"/>
    <col min="11001" max="11007" width="10.7109375" style="2" customWidth="1"/>
    <col min="11008" max="11008" width="12.85546875" style="2" customWidth="1"/>
    <col min="11009" max="11009" width="13.28515625" style="2" customWidth="1"/>
    <col min="11010" max="11010" width="9.5703125" style="2" customWidth="1"/>
    <col min="11011" max="11250" width="9.140625" style="2"/>
    <col min="11251" max="11251" width="16" style="2" customWidth="1"/>
    <col min="11252" max="11255" width="10.7109375" style="2" customWidth="1"/>
    <col min="11256" max="11256" width="12.140625" style="2" customWidth="1"/>
    <col min="11257" max="11263" width="10.7109375" style="2" customWidth="1"/>
    <col min="11264" max="11264" width="12.85546875" style="2" customWidth="1"/>
    <col min="11265" max="11265" width="13.28515625" style="2" customWidth="1"/>
    <col min="11266" max="11266" width="9.5703125" style="2" customWidth="1"/>
    <col min="11267" max="11506" width="9.140625" style="2"/>
    <col min="11507" max="11507" width="16" style="2" customWidth="1"/>
    <col min="11508" max="11511" width="10.7109375" style="2" customWidth="1"/>
    <col min="11512" max="11512" width="12.140625" style="2" customWidth="1"/>
    <col min="11513" max="11519" width="10.7109375" style="2" customWidth="1"/>
    <col min="11520" max="11520" width="12.85546875" style="2" customWidth="1"/>
    <col min="11521" max="11521" width="13.28515625" style="2" customWidth="1"/>
    <col min="11522" max="11522" width="9.5703125" style="2" customWidth="1"/>
    <col min="11523" max="11762" width="9.140625" style="2"/>
    <col min="11763" max="11763" width="16" style="2" customWidth="1"/>
    <col min="11764" max="11767" width="10.7109375" style="2" customWidth="1"/>
    <col min="11768" max="11768" width="12.140625" style="2" customWidth="1"/>
    <col min="11769" max="11775" width="10.7109375" style="2" customWidth="1"/>
    <col min="11776" max="11776" width="12.85546875" style="2" customWidth="1"/>
    <col min="11777" max="11777" width="13.28515625" style="2" customWidth="1"/>
    <col min="11778" max="11778" width="9.5703125" style="2" customWidth="1"/>
    <col min="11779" max="12018" width="9.140625" style="2"/>
    <col min="12019" max="12019" width="16" style="2" customWidth="1"/>
    <col min="12020" max="12023" width="10.7109375" style="2" customWidth="1"/>
    <col min="12024" max="12024" width="12.140625" style="2" customWidth="1"/>
    <col min="12025" max="12031" width="10.7109375" style="2" customWidth="1"/>
    <col min="12032" max="12032" width="12.85546875" style="2" customWidth="1"/>
    <col min="12033" max="12033" width="13.28515625" style="2" customWidth="1"/>
    <col min="12034" max="12034" width="9.5703125" style="2" customWidth="1"/>
    <col min="12035" max="12274" width="9.140625" style="2"/>
    <col min="12275" max="12275" width="16" style="2" customWidth="1"/>
    <col min="12276" max="12279" width="10.7109375" style="2" customWidth="1"/>
    <col min="12280" max="12280" width="12.140625" style="2" customWidth="1"/>
    <col min="12281" max="12287" width="10.7109375" style="2" customWidth="1"/>
    <col min="12288" max="12288" width="12.85546875" style="2" customWidth="1"/>
    <col min="12289" max="12289" width="13.28515625" style="2" customWidth="1"/>
    <col min="12290" max="12290" width="9.5703125" style="2" customWidth="1"/>
    <col min="12291" max="12530" width="9.140625" style="2"/>
    <col min="12531" max="12531" width="16" style="2" customWidth="1"/>
    <col min="12532" max="12535" width="10.7109375" style="2" customWidth="1"/>
    <col min="12536" max="12536" width="12.140625" style="2" customWidth="1"/>
    <col min="12537" max="12543" width="10.7109375" style="2" customWidth="1"/>
    <col min="12544" max="12544" width="12.85546875" style="2" customWidth="1"/>
    <col min="12545" max="12545" width="13.28515625" style="2" customWidth="1"/>
    <col min="12546" max="12546" width="9.5703125" style="2" customWidth="1"/>
    <col min="12547" max="12786" width="9.140625" style="2"/>
    <col min="12787" max="12787" width="16" style="2" customWidth="1"/>
    <col min="12788" max="12791" width="10.7109375" style="2" customWidth="1"/>
    <col min="12792" max="12792" width="12.140625" style="2" customWidth="1"/>
    <col min="12793" max="12799" width="10.7109375" style="2" customWidth="1"/>
    <col min="12800" max="12800" width="12.85546875" style="2" customWidth="1"/>
    <col min="12801" max="12801" width="13.28515625" style="2" customWidth="1"/>
    <col min="12802" max="12802" width="9.5703125" style="2" customWidth="1"/>
    <col min="12803" max="13042" width="9.140625" style="2"/>
    <col min="13043" max="13043" width="16" style="2" customWidth="1"/>
    <col min="13044" max="13047" width="10.7109375" style="2" customWidth="1"/>
    <col min="13048" max="13048" width="12.140625" style="2" customWidth="1"/>
    <col min="13049" max="13055" width="10.7109375" style="2" customWidth="1"/>
    <col min="13056" max="13056" width="12.85546875" style="2" customWidth="1"/>
    <col min="13057" max="13057" width="13.28515625" style="2" customWidth="1"/>
    <col min="13058" max="13058" width="9.5703125" style="2" customWidth="1"/>
    <col min="13059" max="13298" width="9.140625" style="2"/>
    <col min="13299" max="13299" width="16" style="2" customWidth="1"/>
    <col min="13300" max="13303" width="10.7109375" style="2" customWidth="1"/>
    <col min="13304" max="13304" width="12.140625" style="2" customWidth="1"/>
    <col min="13305" max="13311" width="10.7109375" style="2" customWidth="1"/>
    <col min="13312" max="13312" width="12.85546875" style="2" customWidth="1"/>
    <col min="13313" max="13313" width="13.28515625" style="2" customWidth="1"/>
    <col min="13314" max="13314" width="9.5703125" style="2" customWidth="1"/>
    <col min="13315" max="13554" width="9.140625" style="2"/>
    <col min="13555" max="13555" width="16" style="2" customWidth="1"/>
    <col min="13556" max="13559" width="10.7109375" style="2" customWidth="1"/>
    <col min="13560" max="13560" width="12.140625" style="2" customWidth="1"/>
    <col min="13561" max="13567" width="10.7109375" style="2" customWidth="1"/>
    <col min="13568" max="13568" width="12.85546875" style="2" customWidth="1"/>
    <col min="13569" max="13569" width="13.28515625" style="2" customWidth="1"/>
    <col min="13570" max="13570" width="9.5703125" style="2" customWidth="1"/>
    <col min="13571" max="13810" width="9.140625" style="2"/>
    <col min="13811" max="13811" width="16" style="2" customWidth="1"/>
    <col min="13812" max="13815" width="10.7109375" style="2" customWidth="1"/>
    <col min="13816" max="13816" width="12.140625" style="2" customWidth="1"/>
    <col min="13817" max="13823" width="10.7109375" style="2" customWidth="1"/>
    <col min="13824" max="13824" width="12.85546875" style="2" customWidth="1"/>
    <col min="13825" max="13825" width="13.28515625" style="2" customWidth="1"/>
    <col min="13826" max="13826" width="9.5703125" style="2" customWidth="1"/>
    <col min="13827" max="14066" width="9.140625" style="2"/>
    <col min="14067" max="14067" width="16" style="2" customWidth="1"/>
    <col min="14068" max="14071" width="10.7109375" style="2" customWidth="1"/>
    <col min="14072" max="14072" width="12.140625" style="2" customWidth="1"/>
    <col min="14073" max="14079" width="10.7109375" style="2" customWidth="1"/>
    <col min="14080" max="14080" width="12.85546875" style="2" customWidth="1"/>
    <col min="14081" max="14081" width="13.28515625" style="2" customWidth="1"/>
    <col min="14082" max="14082" width="9.5703125" style="2" customWidth="1"/>
    <col min="14083" max="14322" width="9.140625" style="2"/>
    <col min="14323" max="14323" width="16" style="2" customWidth="1"/>
    <col min="14324" max="14327" width="10.7109375" style="2" customWidth="1"/>
    <col min="14328" max="14328" width="12.140625" style="2" customWidth="1"/>
    <col min="14329" max="14335" width="10.7109375" style="2" customWidth="1"/>
    <col min="14336" max="14336" width="12.85546875" style="2" customWidth="1"/>
    <col min="14337" max="14337" width="13.28515625" style="2" customWidth="1"/>
    <col min="14338" max="14338" width="9.5703125" style="2" customWidth="1"/>
    <col min="14339" max="14578" width="9.140625" style="2"/>
    <col min="14579" max="14579" width="16" style="2" customWidth="1"/>
    <col min="14580" max="14583" width="10.7109375" style="2" customWidth="1"/>
    <col min="14584" max="14584" width="12.140625" style="2" customWidth="1"/>
    <col min="14585" max="14591" width="10.7109375" style="2" customWidth="1"/>
    <col min="14592" max="14592" width="12.85546875" style="2" customWidth="1"/>
    <col min="14593" max="14593" width="13.28515625" style="2" customWidth="1"/>
    <col min="14594" max="14594" width="9.5703125" style="2" customWidth="1"/>
    <col min="14595" max="14834" width="9.140625" style="2"/>
    <col min="14835" max="14835" width="16" style="2" customWidth="1"/>
    <col min="14836" max="14839" width="10.7109375" style="2" customWidth="1"/>
    <col min="14840" max="14840" width="12.140625" style="2" customWidth="1"/>
    <col min="14841" max="14847" width="10.7109375" style="2" customWidth="1"/>
    <col min="14848" max="14848" width="12.85546875" style="2" customWidth="1"/>
    <col min="14849" max="14849" width="13.28515625" style="2" customWidth="1"/>
    <col min="14850" max="14850" width="9.5703125" style="2" customWidth="1"/>
    <col min="14851" max="15090" width="9.140625" style="2"/>
    <col min="15091" max="15091" width="16" style="2" customWidth="1"/>
    <col min="15092" max="15095" width="10.7109375" style="2" customWidth="1"/>
    <col min="15096" max="15096" width="12.140625" style="2" customWidth="1"/>
    <col min="15097" max="15103" width="10.7109375" style="2" customWidth="1"/>
    <col min="15104" max="15104" width="12.85546875" style="2" customWidth="1"/>
    <col min="15105" max="15105" width="13.28515625" style="2" customWidth="1"/>
    <col min="15106" max="15106" width="9.5703125" style="2" customWidth="1"/>
    <col min="15107" max="15346" width="9.140625" style="2"/>
    <col min="15347" max="15347" width="16" style="2" customWidth="1"/>
    <col min="15348" max="15351" width="10.7109375" style="2" customWidth="1"/>
    <col min="15352" max="15352" width="12.140625" style="2" customWidth="1"/>
    <col min="15353" max="15359" width="10.7109375" style="2" customWidth="1"/>
    <col min="15360" max="15360" width="12.85546875" style="2" customWidth="1"/>
    <col min="15361" max="15361" width="13.28515625" style="2" customWidth="1"/>
    <col min="15362" max="15362" width="9.5703125" style="2" customWidth="1"/>
    <col min="15363" max="15602" width="9.140625" style="2"/>
    <col min="15603" max="15603" width="16" style="2" customWidth="1"/>
    <col min="15604" max="15607" width="10.7109375" style="2" customWidth="1"/>
    <col min="15608" max="15608" width="12.140625" style="2" customWidth="1"/>
    <col min="15609" max="15615" width="10.7109375" style="2" customWidth="1"/>
    <col min="15616" max="15616" width="12.85546875" style="2" customWidth="1"/>
    <col min="15617" max="15617" width="13.28515625" style="2" customWidth="1"/>
    <col min="15618" max="15618" width="9.5703125" style="2" customWidth="1"/>
    <col min="15619" max="15858" width="9.140625" style="2"/>
    <col min="15859" max="15859" width="16" style="2" customWidth="1"/>
    <col min="15860" max="15863" width="10.7109375" style="2" customWidth="1"/>
    <col min="15864" max="15864" width="12.140625" style="2" customWidth="1"/>
    <col min="15865" max="15871" width="10.7109375" style="2" customWidth="1"/>
    <col min="15872" max="15872" width="12.85546875" style="2" customWidth="1"/>
    <col min="15873" max="15873" width="13.28515625" style="2" customWidth="1"/>
    <col min="15874" max="15874" width="9.5703125" style="2" customWidth="1"/>
    <col min="15875" max="16114" width="9.140625" style="2"/>
    <col min="16115" max="16115" width="16" style="2" customWidth="1"/>
    <col min="16116" max="16119" width="10.7109375" style="2" customWidth="1"/>
    <col min="16120" max="16120" width="12.140625" style="2" customWidth="1"/>
    <col min="16121" max="16127" width="10.7109375" style="2" customWidth="1"/>
    <col min="16128" max="16128" width="12.85546875" style="2" customWidth="1"/>
    <col min="16129" max="16129" width="13.28515625" style="2" customWidth="1"/>
    <col min="16130" max="16130" width="9.5703125" style="2" customWidth="1"/>
    <col min="16131" max="16384" width="9.140625" style="2"/>
  </cols>
  <sheetData>
    <row r="1" spans="1:137" ht="22.5" customHeight="1" x14ac:dyDescent="0.2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</row>
    <row r="2" spans="1:137" s="4" customFormat="1" ht="21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spans="1:137" s="4" customFormat="1" ht="15" customHeight="1" x14ac:dyDescent="0.2">
      <c r="A3" s="5" t="s">
        <v>2</v>
      </c>
      <c r="B3" s="6" t="s">
        <v>3</v>
      </c>
      <c r="C3" s="7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 t="s">
        <v>5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">
        <v>6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 t="s">
        <v>7</v>
      </c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9" t="s">
        <v>8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 t="s">
        <v>9</v>
      </c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 t="s">
        <v>10</v>
      </c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 t="s">
        <v>11</v>
      </c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 t="s">
        <v>12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</row>
    <row r="4" spans="1:137" s="20" customFormat="1" ht="38.25" customHeight="1" x14ac:dyDescent="0.25">
      <c r="A4" s="5"/>
      <c r="B4" s="6"/>
      <c r="C4" s="10" t="s">
        <v>13</v>
      </c>
      <c r="D4" s="10"/>
      <c r="E4" s="10"/>
      <c r="F4" s="11" t="s">
        <v>14</v>
      </c>
      <c r="G4" s="11"/>
      <c r="H4" s="11"/>
      <c r="I4" s="11" t="s">
        <v>15</v>
      </c>
      <c r="J4" s="11"/>
      <c r="K4" s="11"/>
      <c r="L4" s="11" t="s">
        <v>16</v>
      </c>
      <c r="M4" s="11"/>
      <c r="N4" s="11"/>
      <c r="O4" s="12" t="s">
        <v>17</v>
      </c>
      <c r="P4" s="13"/>
      <c r="Q4" s="14"/>
      <c r="R4" s="15" t="s">
        <v>18</v>
      </c>
      <c r="S4" s="15"/>
      <c r="T4" s="15"/>
      <c r="U4" s="15" t="s">
        <v>14</v>
      </c>
      <c r="V4" s="15"/>
      <c r="W4" s="15"/>
      <c r="X4" s="15" t="s">
        <v>15</v>
      </c>
      <c r="Y4" s="15"/>
      <c r="Z4" s="15"/>
      <c r="AA4" s="15" t="s">
        <v>16</v>
      </c>
      <c r="AB4" s="15"/>
      <c r="AC4" s="15"/>
      <c r="AD4" s="12" t="s">
        <v>17</v>
      </c>
      <c r="AE4" s="13"/>
      <c r="AF4" s="14"/>
      <c r="AG4" s="10" t="s">
        <v>18</v>
      </c>
      <c r="AH4" s="10"/>
      <c r="AI4" s="10"/>
      <c r="AJ4" s="10" t="s">
        <v>14</v>
      </c>
      <c r="AK4" s="10"/>
      <c r="AL4" s="10"/>
      <c r="AM4" s="16" t="s">
        <v>19</v>
      </c>
      <c r="AN4" s="16"/>
      <c r="AO4" s="16"/>
      <c r="AP4" s="17" t="s">
        <v>20</v>
      </c>
      <c r="AQ4" s="18"/>
      <c r="AR4" s="19"/>
      <c r="AS4" s="12" t="s">
        <v>17</v>
      </c>
      <c r="AT4" s="13"/>
      <c r="AU4" s="14"/>
      <c r="AV4" s="10" t="s">
        <v>18</v>
      </c>
      <c r="AW4" s="10"/>
      <c r="AX4" s="10"/>
      <c r="AY4" s="10" t="s">
        <v>14</v>
      </c>
      <c r="AZ4" s="10"/>
      <c r="BA4" s="10"/>
      <c r="BB4" s="16" t="s">
        <v>19</v>
      </c>
      <c r="BC4" s="16"/>
      <c r="BD4" s="16"/>
      <c r="BE4" s="17" t="s">
        <v>20</v>
      </c>
      <c r="BF4" s="18"/>
      <c r="BG4" s="19"/>
      <c r="BH4" s="12" t="s">
        <v>17</v>
      </c>
      <c r="BI4" s="13"/>
      <c r="BJ4" s="14"/>
      <c r="BK4" s="12" t="s">
        <v>18</v>
      </c>
      <c r="BL4" s="13"/>
      <c r="BM4" s="14"/>
      <c r="BN4" s="12" t="s">
        <v>21</v>
      </c>
      <c r="BO4" s="13"/>
      <c r="BP4" s="14"/>
      <c r="BQ4" s="17" t="s">
        <v>19</v>
      </c>
      <c r="BR4" s="18"/>
      <c r="BS4" s="19"/>
      <c r="BT4" s="17" t="s">
        <v>20</v>
      </c>
      <c r="BU4" s="18"/>
      <c r="BV4" s="19"/>
      <c r="BW4" s="12" t="s">
        <v>17</v>
      </c>
      <c r="BX4" s="13"/>
      <c r="BY4" s="14"/>
      <c r="BZ4" s="12" t="s">
        <v>22</v>
      </c>
      <c r="CA4" s="13"/>
      <c r="CB4" s="14"/>
      <c r="CC4" s="12" t="s">
        <v>21</v>
      </c>
      <c r="CD4" s="13"/>
      <c r="CE4" s="14"/>
      <c r="CF4" s="17" t="s">
        <v>19</v>
      </c>
      <c r="CG4" s="18"/>
      <c r="CH4" s="19"/>
      <c r="CI4" s="17" t="s">
        <v>20</v>
      </c>
      <c r="CJ4" s="18"/>
      <c r="CK4" s="19"/>
      <c r="CL4" s="12" t="s">
        <v>17</v>
      </c>
      <c r="CM4" s="13"/>
      <c r="CN4" s="14"/>
      <c r="CO4" s="12" t="s">
        <v>18</v>
      </c>
      <c r="CP4" s="13"/>
      <c r="CQ4" s="14"/>
      <c r="CR4" s="12" t="s">
        <v>21</v>
      </c>
      <c r="CS4" s="13"/>
      <c r="CT4" s="14"/>
      <c r="CU4" s="17" t="s">
        <v>19</v>
      </c>
      <c r="CV4" s="18"/>
      <c r="CW4" s="19"/>
      <c r="CX4" s="17" t="s">
        <v>20</v>
      </c>
      <c r="CY4" s="18"/>
      <c r="CZ4" s="19"/>
      <c r="DA4" s="12" t="s">
        <v>17</v>
      </c>
      <c r="DB4" s="13"/>
      <c r="DC4" s="14"/>
      <c r="DD4" s="12" t="s">
        <v>22</v>
      </c>
      <c r="DE4" s="13"/>
      <c r="DF4" s="14"/>
      <c r="DG4" s="12" t="s">
        <v>21</v>
      </c>
      <c r="DH4" s="13"/>
      <c r="DI4" s="14"/>
      <c r="DJ4" s="17" t="s">
        <v>19</v>
      </c>
      <c r="DK4" s="18"/>
      <c r="DL4" s="19"/>
      <c r="DM4" s="17" t="s">
        <v>20</v>
      </c>
      <c r="DN4" s="18"/>
      <c r="DO4" s="19"/>
      <c r="DP4" s="12" t="s">
        <v>17</v>
      </c>
      <c r="DQ4" s="13"/>
      <c r="DR4" s="14"/>
      <c r="DS4" s="12" t="s">
        <v>22</v>
      </c>
      <c r="DT4" s="13"/>
      <c r="DU4" s="14"/>
      <c r="DV4" s="12" t="s">
        <v>21</v>
      </c>
      <c r="DW4" s="13"/>
      <c r="DX4" s="14"/>
      <c r="DY4" s="17" t="s">
        <v>19</v>
      </c>
      <c r="DZ4" s="18"/>
      <c r="EA4" s="19"/>
      <c r="EB4" s="17" t="s">
        <v>20</v>
      </c>
      <c r="EC4" s="18"/>
      <c r="ED4" s="19"/>
      <c r="EE4" s="12" t="s">
        <v>17</v>
      </c>
      <c r="EF4" s="13"/>
      <c r="EG4" s="14"/>
    </row>
    <row r="5" spans="1:137" s="20" customFormat="1" ht="41.25" customHeight="1" x14ac:dyDescent="0.25">
      <c r="A5" s="5"/>
      <c r="B5" s="6"/>
      <c r="C5" s="21" t="s">
        <v>23</v>
      </c>
      <c r="D5" s="21" t="s">
        <v>24</v>
      </c>
      <c r="E5" s="21" t="s">
        <v>25</v>
      </c>
      <c r="F5" s="21" t="s">
        <v>23</v>
      </c>
      <c r="G5" s="21" t="s">
        <v>24</v>
      </c>
      <c r="H5" s="21" t="s">
        <v>25</v>
      </c>
      <c r="I5" s="21" t="s">
        <v>23</v>
      </c>
      <c r="J5" s="21" t="s">
        <v>24</v>
      </c>
      <c r="K5" s="21" t="s">
        <v>25</v>
      </c>
      <c r="L5" s="21" t="s">
        <v>23</v>
      </c>
      <c r="M5" s="21" t="s">
        <v>24</v>
      </c>
      <c r="N5" s="21" t="s">
        <v>25</v>
      </c>
      <c r="O5" s="22" t="s">
        <v>23</v>
      </c>
      <c r="P5" s="22" t="s">
        <v>24</v>
      </c>
      <c r="Q5" s="21" t="s">
        <v>25</v>
      </c>
      <c r="R5" s="23" t="s">
        <v>23</v>
      </c>
      <c r="S5" s="23" t="s">
        <v>24</v>
      </c>
      <c r="T5" s="21" t="s">
        <v>25</v>
      </c>
      <c r="U5" s="23" t="s">
        <v>23</v>
      </c>
      <c r="V5" s="23" t="s">
        <v>24</v>
      </c>
      <c r="W5" s="21" t="s">
        <v>25</v>
      </c>
      <c r="X5" s="23" t="s">
        <v>23</v>
      </c>
      <c r="Y5" s="23" t="s">
        <v>24</v>
      </c>
      <c r="Z5" s="21" t="s">
        <v>25</v>
      </c>
      <c r="AA5" s="23" t="s">
        <v>23</v>
      </c>
      <c r="AB5" s="23" t="s">
        <v>24</v>
      </c>
      <c r="AC5" s="21" t="s">
        <v>25</v>
      </c>
      <c r="AD5" s="23" t="s">
        <v>23</v>
      </c>
      <c r="AE5" s="23" t="s">
        <v>24</v>
      </c>
      <c r="AF5" s="21" t="s">
        <v>25</v>
      </c>
      <c r="AG5" s="24" t="s">
        <v>23</v>
      </c>
      <c r="AH5" s="24" t="s">
        <v>24</v>
      </c>
      <c r="AI5" s="21" t="s">
        <v>25</v>
      </c>
      <c r="AJ5" s="24" t="s">
        <v>23</v>
      </c>
      <c r="AK5" s="24" t="s">
        <v>24</v>
      </c>
      <c r="AL5" s="21" t="s">
        <v>25</v>
      </c>
      <c r="AM5" s="24" t="s">
        <v>23</v>
      </c>
      <c r="AN5" s="24" t="s">
        <v>24</v>
      </c>
      <c r="AO5" s="21" t="s">
        <v>25</v>
      </c>
      <c r="AP5" s="24" t="s">
        <v>23</v>
      </c>
      <c r="AQ5" s="24" t="s">
        <v>24</v>
      </c>
      <c r="AR5" s="21" t="s">
        <v>25</v>
      </c>
      <c r="AS5" s="24" t="s">
        <v>23</v>
      </c>
      <c r="AT5" s="24" t="s">
        <v>24</v>
      </c>
      <c r="AU5" s="21" t="s">
        <v>25</v>
      </c>
      <c r="AV5" s="24" t="s">
        <v>23</v>
      </c>
      <c r="AW5" s="24" t="s">
        <v>24</v>
      </c>
      <c r="AX5" s="21" t="s">
        <v>25</v>
      </c>
      <c r="AY5" s="24" t="s">
        <v>23</v>
      </c>
      <c r="AZ5" s="24" t="s">
        <v>24</v>
      </c>
      <c r="BA5" s="21" t="s">
        <v>25</v>
      </c>
      <c r="BB5" s="24" t="s">
        <v>23</v>
      </c>
      <c r="BC5" s="24" t="s">
        <v>24</v>
      </c>
      <c r="BD5" s="21" t="s">
        <v>25</v>
      </c>
      <c r="BE5" s="24" t="s">
        <v>23</v>
      </c>
      <c r="BF5" s="24" t="s">
        <v>24</v>
      </c>
      <c r="BG5" s="21" t="s">
        <v>25</v>
      </c>
      <c r="BH5" s="24" t="s">
        <v>23</v>
      </c>
      <c r="BI5" s="24" t="s">
        <v>24</v>
      </c>
      <c r="BJ5" s="21" t="s">
        <v>25</v>
      </c>
      <c r="BK5" s="25" t="s">
        <v>26</v>
      </c>
      <c r="BL5" s="25" t="s">
        <v>24</v>
      </c>
      <c r="BM5" s="21" t="s">
        <v>25</v>
      </c>
      <c r="BN5" s="25" t="s">
        <v>26</v>
      </c>
      <c r="BO5" s="25" t="s">
        <v>24</v>
      </c>
      <c r="BP5" s="21" t="s">
        <v>25</v>
      </c>
      <c r="BQ5" s="25" t="s">
        <v>26</v>
      </c>
      <c r="BR5" s="25" t="s">
        <v>24</v>
      </c>
      <c r="BS5" s="21" t="s">
        <v>25</v>
      </c>
      <c r="BT5" s="25" t="s">
        <v>26</v>
      </c>
      <c r="BU5" s="25" t="s">
        <v>24</v>
      </c>
      <c r="BV5" s="21" t="s">
        <v>25</v>
      </c>
      <c r="BW5" s="25" t="s">
        <v>26</v>
      </c>
      <c r="BX5" s="25" t="s">
        <v>24</v>
      </c>
      <c r="BY5" s="21" t="s">
        <v>25</v>
      </c>
      <c r="BZ5" s="25" t="s">
        <v>26</v>
      </c>
      <c r="CA5" s="25" t="s">
        <v>24</v>
      </c>
      <c r="CB5" s="21" t="s">
        <v>25</v>
      </c>
      <c r="CC5" s="25" t="s">
        <v>26</v>
      </c>
      <c r="CD5" s="25" t="s">
        <v>24</v>
      </c>
      <c r="CE5" s="21" t="s">
        <v>25</v>
      </c>
      <c r="CF5" s="25" t="s">
        <v>26</v>
      </c>
      <c r="CG5" s="25" t="s">
        <v>24</v>
      </c>
      <c r="CH5" s="21" t="s">
        <v>25</v>
      </c>
      <c r="CI5" s="25" t="s">
        <v>26</v>
      </c>
      <c r="CJ5" s="25" t="s">
        <v>24</v>
      </c>
      <c r="CK5" s="21" t="s">
        <v>25</v>
      </c>
      <c r="CL5" s="25" t="s">
        <v>26</v>
      </c>
      <c r="CM5" s="25" t="s">
        <v>24</v>
      </c>
      <c r="CN5" s="21" t="s">
        <v>25</v>
      </c>
      <c r="CO5" s="25" t="s">
        <v>26</v>
      </c>
      <c r="CP5" s="25" t="s">
        <v>24</v>
      </c>
      <c r="CQ5" s="21" t="s">
        <v>25</v>
      </c>
      <c r="CR5" s="25" t="s">
        <v>26</v>
      </c>
      <c r="CS5" s="25" t="s">
        <v>24</v>
      </c>
      <c r="CT5" s="21" t="s">
        <v>25</v>
      </c>
      <c r="CU5" s="25" t="s">
        <v>26</v>
      </c>
      <c r="CV5" s="25" t="s">
        <v>24</v>
      </c>
      <c r="CW5" s="21" t="s">
        <v>25</v>
      </c>
      <c r="CX5" s="25" t="s">
        <v>26</v>
      </c>
      <c r="CY5" s="25" t="s">
        <v>24</v>
      </c>
      <c r="CZ5" s="21" t="s">
        <v>25</v>
      </c>
      <c r="DA5" s="25" t="s">
        <v>26</v>
      </c>
      <c r="DB5" s="25" t="s">
        <v>24</v>
      </c>
      <c r="DC5" s="21" t="s">
        <v>25</v>
      </c>
      <c r="DD5" s="25" t="s">
        <v>26</v>
      </c>
      <c r="DE5" s="25" t="s">
        <v>24</v>
      </c>
      <c r="DF5" s="26" t="s">
        <v>25</v>
      </c>
      <c r="DG5" s="25" t="s">
        <v>26</v>
      </c>
      <c r="DH5" s="25" t="s">
        <v>24</v>
      </c>
      <c r="DI5" s="21" t="s">
        <v>25</v>
      </c>
      <c r="DJ5" s="25" t="s">
        <v>26</v>
      </c>
      <c r="DK5" s="25" t="s">
        <v>24</v>
      </c>
      <c r="DL5" s="21" t="s">
        <v>25</v>
      </c>
      <c r="DM5" s="25" t="s">
        <v>26</v>
      </c>
      <c r="DN5" s="25" t="s">
        <v>24</v>
      </c>
      <c r="DO5" s="21" t="s">
        <v>25</v>
      </c>
      <c r="DP5" s="25" t="s">
        <v>26</v>
      </c>
      <c r="DQ5" s="25" t="s">
        <v>27</v>
      </c>
      <c r="DR5" s="21" t="s">
        <v>25</v>
      </c>
      <c r="DS5" s="25" t="s">
        <v>26</v>
      </c>
      <c r="DT5" s="25" t="s">
        <v>24</v>
      </c>
      <c r="DU5" s="26" t="s">
        <v>25</v>
      </c>
      <c r="DV5" s="25" t="s">
        <v>26</v>
      </c>
      <c r="DW5" s="25" t="s">
        <v>24</v>
      </c>
      <c r="DX5" s="21" t="s">
        <v>25</v>
      </c>
      <c r="DY5" s="25" t="s">
        <v>26</v>
      </c>
      <c r="DZ5" s="25" t="s">
        <v>24</v>
      </c>
      <c r="EA5" s="21" t="s">
        <v>25</v>
      </c>
      <c r="EB5" s="25" t="s">
        <v>26</v>
      </c>
      <c r="EC5" s="25" t="s">
        <v>24</v>
      </c>
      <c r="ED5" s="21" t="s">
        <v>25</v>
      </c>
      <c r="EE5" s="25" t="s">
        <v>26</v>
      </c>
      <c r="EF5" s="25" t="s">
        <v>27</v>
      </c>
      <c r="EG5" s="21" t="s">
        <v>25</v>
      </c>
    </row>
    <row r="6" spans="1:137" s="40" customFormat="1" ht="20.25" customHeight="1" x14ac:dyDescent="0.25">
      <c r="A6" s="27"/>
      <c r="B6" s="28" t="s">
        <v>28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  <c r="BL6" s="32"/>
      <c r="BM6" s="33"/>
      <c r="BN6" s="32"/>
      <c r="BO6" s="32"/>
      <c r="BP6" s="33"/>
      <c r="BQ6" s="32"/>
      <c r="BR6" s="32"/>
      <c r="BS6" s="33"/>
      <c r="BT6" s="32"/>
      <c r="BU6" s="32"/>
      <c r="BV6" s="33"/>
      <c r="BW6" s="32"/>
      <c r="BX6" s="32"/>
      <c r="BY6" s="34"/>
      <c r="BZ6" s="35"/>
      <c r="CA6" s="35"/>
      <c r="CB6" s="36"/>
      <c r="CC6" s="35"/>
      <c r="CD6" s="35"/>
      <c r="CE6" s="36"/>
      <c r="CF6" s="35"/>
      <c r="CG6" s="35"/>
      <c r="CH6" s="36"/>
      <c r="CI6" s="35"/>
      <c r="CJ6" s="35"/>
      <c r="CK6" s="36"/>
      <c r="CL6" s="35"/>
      <c r="CM6" s="35"/>
      <c r="CN6" s="37"/>
      <c r="CO6" s="35"/>
      <c r="CP6" s="35"/>
      <c r="CQ6" s="38"/>
      <c r="CR6" s="35"/>
      <c r="CS6" s="35"/>
      <c r="CT6" s="38"/>
      <c r="CU6" s="35"/>
      <c r="CV6" s="35"/>
      <c r="CW6" s="38"/>
      <c r="CX6" s="35"/>
      <c r="CY6" s="35"/>
      <c r="CZ6" s="38"/>
      <c r="DA6" s="35"/>
      <c r="DB6" s="35"/>
      <c r="DC6" s="39"/>
      <c r="DD6" s="35"/>
      <c r="DE6" s="35"/>
      <c r="DF6" s="38"/>
      <c r="DG6" s="35"/>
      <c r="DH6" s="35"/>
      <c r="DI6" s="38"/>
      <c r="DJ6" s="35"/>
      <c r="DK6" s="35"/>
      <c r="DL6" s="38"/>
      <c r="DM6" s="35"/>
      <c r="DN6" s="35"/>
      <c r="DO6" s="38"/>
      <c r="DP6" s="35"/>
      <c r="DQ6" s="35"/>
      <c r="DR6" s="39"/>
      <c r="DS6" s="35"/>
      <c r="DT6" s="35"/>
      <c r="DU6" s="38"/>
      <c r="DV6" s="35"/>
      <c r="DW6" s="35"/>
      <c r="DX6" s="38"/>
      <c r="DY6" s="35"/>
      <c r="DZ6" s="35"/>
      <c r="EA6" s="38"/>
      <c r="EB6" s="35"/>
      <c r="EC6" s="35"/>
      <c r="ED6" s="38"/>
      <c r="EE6" s="35"/>
      <c r="EF6" s="35"/>
      <c r="EG6" s="39"/>
    </row>
    <row r="7" spans="1:137" x14ac:dyDescent="0.2">
      <c r="A7" s="41">
        <v>1</v>
      </c>
      <c r="B7" s="42" t="s">
        <v>29</v>
      </c>
      <c r="C7" s="43">
        <v>44974.92</v>
      </c>
      <c r="D7" s="43">
        <v>37655.300000000003</v>
      </c>
      <c r="E7" s="44">
        <v>0.83725107237544849</v>
      </c>
      <c r="F7" s="43">
        <v>118279.57</v>
      </c>
      <c r="G7" s="43">
        <v>139969.47</v>
      </c>
      <c r="H7" s="44">
        <v>1.1834</v>
      </c>
      <c r="I7" s="43">
        <v>13161.444100000001</v>
      </c>
      <c r="J7" s="43">
        <v>13682.67</v>
      </c>
      <c r="K7" s="44">
        <v>1.0396000000000001</v>
      </c>
      <c r="L7" s="43">
        <v>90991.8747</v>
      </c>
      <c r="M7" s="43">
        <v>88523.044562900002</v>
      </c>
      <c r="N7" s="44">
        <v>0.97289999999999999</v>
      </c>
      <c r="O7" s="43">
        <v>267407.8088</v>
      </c>
      <c r="P7" s="43">
        <v>279830.48456290003</v>
      </c>
      <c r="Q7" s="44">
        <v>1.0464559199622747</v>
      </c>
      <c r="R7" s="45">
        <v>78655.39</v>
      </c>
      <c r="S7" s="45">
        <v>74461.09</v>
      </c>
      <c r="T7" s="46">
        <v>0.94667498311304532</v>
      </c>
      <c r="U7" s="47">
        <v>164927.37</v>
      </c>
      <c r="V7" s="47">
        <v>211107.03</v>
      </c>
      <c r="W7" s="46">
        <v>1.27999997817221</v>
      </c>
      <c r="X7" s="47">
        <v>15880.049000000001</v>
      </c>
      <c r="Y7" s="47">
        <v>16417.310000000001</v>
      </c>
      <c r="Z7" s="46">
        <v>1.0338324522802165</v>
      </c>
      <c r="AA7" s="47">
        <v>99446.27</v>
      </c>
      <c r="AB7" s="47">
        <v>102423.64</v>
      </c>
      <c r="AC7" s="46">
        <v>1.0299394839042229</v>
      </c>
      <c r="AD7" s="47">
        <v>358909.07900000003</v>
      </c>
      <c r="AE7" s="47">
        <v>404409.07</v>
      </c>
      <c r="AF7" s="46">
        <v>1.1267730287759035</v>
      </c>
      <c r="AG7" s="48">
        <v>90454.23</v>
      </c>
      <c r="AH7" s="48">
        <v>100767.77</v>
      </c>
      <c r="AI7" s="49">
        <v>1.1140194328114894</v>
      </c>
      <c r="AJ7" s="48">
        <v>168096.99</v>
      </c>
      <c r="AK7" s="48">
        <v>214257.13</v>
      </c>
      <c r="AL7" s="49">
        <v>1.2746042032043525</v>
      </c>
      <c r="AM7" s="48">
        <v>25220.66</v>
      </c>
      <c r="AN7" s="48">
        <v>34183.379999999997</v>
      </c>
      <c r="AO7" s="49">
        <v>1.3553721433142509</v>
      </c>
      <c r="AP7" s="50">
        <v>105572.91</v>
      </c>
      <c r="AQ7" s="50">
        <v>86437.32</v>
      </c>
      <c r="AR7" s="49">
        <v>0.81874526334454556</v>
      </c>
      <c r="AS7" s="48">
        <v>389344.79</v>
      </c>
      <c r="AT7" s="48">
        <v>435645.60000000003</v>
      </c>
      <c r="AU7" s="51">
        <v>1.1189198139777343</v>
      </c>
      <c r="AV7" s="48">
        <v>80046</v>
      </c>
      <c r="AW7" s="48">
        <v>101304.5142647</v>
      </c>
      <c r="AX7" s="52">
        <v>1.2655787205444371</v>
      </c>
      <c r="AY7" s="48">
        <v>170240</v>
      </c>
      <c r="AZ7" s="48">
        <v>254527</v>
      </c>
      <c r="BA7" s="52">
        <v>1.4951069078947368</v>
      </c>
      <c r="BB7" s="48">
        <v>36045</v>
      </c>
      <c r="BC7" s="48">
        <v>35538.367899999997</v>
      </c>
      <c r="BD7" s="52">
        <v>0.98594445554168397</v>
      </c>
      <c r="BE7" s="53">
        <v>88342</v>
      </c>
      <c r="BF7" s="53">
        <v>86525.930133400005</v>
      </c>
      <c r="BG7" s="52">
        <v>0.9794427354304861</v>
      </c>
      <c r="BH7" s="48">
        <v>374673</v>
      </c>
      <c r="BI7" s="48">
        <v>477895.81229810003</v>
      </c>
      <c r="BJ7" s="52">
        <v>1.275501069727736</v>
      </c>
      <c r="BK7" s="54">
        <v>92276</v>
      </c>
      <c r="BL7" s="54">
        <v>105809</v>
      </c>
      <c r="BM7" s="55">
        <v>1.1466578525293685</v>
      </c>
      <c r="BN7" s="54">
        <v>169506</v>
      </c>
      <c r="BO7" s="54">
        <v>211337</v>
      </c>
      <c r="BP7" s="55">
        <v>1.2467818248321594</v>
      </c>
      <c r="BQ7" s="54">
        <v>34388</v>
      </c>
      <c r="BR7" s="54">
        <v>48121</v>
      </c>
      <c r="BS7" s="55">
        <v>1.399354425962545</v>
      </c>
      <c r="BT7" s="54">
        <v>78183</v>
      </c>
      <c r="BU7" s="54">
        <v>70995</v>
      </c>
      <c r="BV7" s="55">
        <v>0.90806185487893787</v>
      </c>
      <c r="BW7" s="54">
        <v>374353</v>
      </c>
      <c r="BX7" s="54">
        <v>436262</v>
      </c>
      <c r="BY7" s="55">
        <v>1.1653759953840359</v>
      </c>
      <c r="BZ7" s="56">
        <v>39100</v>
      </c>
      <c r="CA7" s="56">
        <v>22100</v>
      </c>
      <c r="CB7" s="57">
        <v>0.56521739130434778</v>
      </c>
      <c r="CC7" s="56">
        <v>170440</v>
      </c>
      <c r="CD7" s="56">
        <v>196100</v>
      </c>
      <c r="CE7" s="57">
        <v>1.1505515137291715</v>
      </c>
      <c r="CF7" s="56">
        <v>39830</v>
      </c>
      <c r="CG7" s="56">
        <v>55073</v>
      </c>
      <c r="CH7" s="57">
        <v>1.3827014812955059</v>
      </c>
      <c r="CI7" s="56">
        <v>89471</v>
      </c>
      <c r="CJ7" s="56">
        <v>79640</v>
      </c>
      <c r="CK7" s="57">
        <v>0.890120821271697</v>
      </c>
      <c r="CL7" s="56">
        <v>338841</v>
      </c>
      <c r="CM7" s="56">
        <v>352913</v>
      </c>
      <c r="CN7" s="57">
        <v>1.0415298030639739</v>
      </c>
      <c r="CO7" s="58">
        <v>24521</v>
      </c>
      <c r="CP7" s="58">
        <v>24000</v>
      </c>
      <c r="CQ7" s="59">
        <v>0.97875290567268869</v>
      </c>
      <c r="CR7" s="58">
        <v>149405</v>
      </c>
      <c r="CS7" s="58">
        <v>155211</v>
      </c>
      <c r="CT7" s="59">
        <v>1.0388608145644389</v>
      </c>
      <c r="CU7" s="58">
        <v>39251</v>
      </c>
      <c r="CV7" s="58">
        <v>45709</v>
      </c>
      <c r="CW7" s="59">
        <v>1.1645308399785992</v>
      </c>
      <c r="CX7" s="58">
        <v>93389</v>
      </c>
      <c r="CY7" s="58">
        <v>92127</v>
      </c>
      <c r="CZ7" s="59">
        <v>0.98648663118782731</v>
      </c>
      <c r="DA7" s="58">
        <v>306566</v>
      </c>
      <c r="DB7" s="58">
        <v>317047</v>
      </c>
      <c r="DC7" s="59">
        <v>1.0341883966258489</v>
      </c>
      <c r="DD7" s="58">
        <v>30500</v>
      </c>
      <c r="DE7" s="58">
        <v>25660</v>
      </c>
      <c r="DF7" s="59">
        <v>0.84131147540983608</v>
      </c>
      <c r="DG7" s="58">
        <v>213425</v>
      </c>
      <c r="DH7" s="58">
        <v>225610</v>
      </c>
      <c r="DI7" s="59">
        <v>1.0570926554995901</v>
      </c>
      <c r="DJ7" s="58">
        <v>48894</v>
      </c>
      <c r="DK7" s="58">
        <v>49727</v>
      </c>
      <c r="DL7" s="59">
        <v>1.0170368552378615</v>
      </c>
      <c r="DM7" s="58">
        <v>115254</v>
      </c>
      <c r="DN7" s="58">
        <v>111061</v>
      </c>
      <c r="DO7" s="59">
        <v>0.96361948392246688</v>
      </c>
      <c r="DP7" s="58">
        <v>408073</v>
      </c>
      <c r="DQ7" s="58">
        <v>412058</v>
      </c>
      <c r="DR7" s="59">
        <v>1.0097654096203375</v>
      </c>
      <c r="DS7" s="58">
        <v>34284.6</v>
      </c>
      <c r="DT7" s="58">
        <v>60100</v>
      </c>
      <c r="DU7" s="59">
        <v>1.7529736383099117</v>
      </c>
      <c r="DV7" s="58">
        <v>296712.5</v>
      </c>
      <c r="DW7" s="58">
        <v>379753.9</v>
      </c>
      <c r="DX7" s="59">
        <v>1.2798715928718878</v>
      </c>
      <c r="DY7" s="58">
        <v>64279.6</v>
      </c>
      <c r="DZ7" s="58">
        <v>77358.8</v>
      </c>
      <c r="EA7" s="59">
        <v>1.2034735748200052</v>
      </c>
      <c r="EB7" s="58">
        <v>141126.6</v>
      </c>
      <c r="EC7" s="58">
        <v>148575.4</v>
      </c>
      <c r="ED7" s="59">
        <v>1.0527809782138873</v>
      </c>
      <c r="EE7" s="58">
        <v>536403.29999999993</v>
      </c>
      <c r="EF7" s="58">
        <v>665788.1</v>
      </c>
      <c r="EG7" s="59">
        <v>1.2412080611733747</v>
      </c>
    </row>
    <row r="8" spans="1:137" x14ac:dyDescent="0.2">
      <c r="A8" s="41">
        <v>2</v>
      </c>
      <c r="B8" s="42" t="s">
        <v>30</v>
      </c>
      <c r="C8" s="43">
        <v>8905.0774220980365</v>
      </c>
      <c r="D8" s="43">
        <v>9938.77</v>
      </c>
      <c r="E8" s="44">
        <v>1.1160790107604057</v>
      </c>
      <c r="F8" s="43">
        <v>147888.11168568392</v>
      </c>
      <c r="G8" s="43">
        <v>164664.05734</v>
      </c>
      <c r="H8" s="44">
        <v>1.1134367425690785</v>
      </c>
      <c r="I8" s="43">
        <v>7937.9181619319979</v>
      </c>
      <c r="J8" s="43">
        <v>5208.8212000000003</v>
      </c>
      <c r="K8" s="44">
        <v>0.65619487298068002</v>
      </c>
      <c r="L8" s="43">
        <v>118355.09655027468</v>
      </c>
      <c r="M8" s="43">
        <v>99576.327560000005</v>
      </c>
      <c r="N8" s="44">
        <v>0.84133535827671047</v>
      </c>
      <c r="O8" s="43">
        <v>283086.20381998864</v>
      </c>
      <c r="P8" s="43">
        <v>278082.97658000002</v>
      </c>
      <c r="Q8" s="44">
        <v>0.98232613538747326</v>
      </c>
      <c r="R8" s="45">
        <v>28205.5583216667</v>
      </c>
      <c r="S8" s="45">
        <v>28810.693800000001</v>
      </c>
      <c r="T8" s="46">
        <v>1.0214544761508391</v>
      </c>
      <c r="U8" s="47">
        <v>169805.10265219826</v>
      </c>
      <c r="V8" s="47">
        <v>200981.08743670001</v>
      </c>
      <c r="W8" s="46">
        <v>1.1835986333600215</v>
      </c>
      <c r="X8" s="47">
        <v>52324.611509404167</v>
      </c>
      <c r="Y8" s="47">
        <v>46562.177499999998</v>
      </c>
      <c r="Z8" s="46">
        <v>0.88987144207714752</v>
      </c>
      <c r="AA8" s="47">
        <v>93005.498944504419</v>
      </c>
      <c r="AB8" s="47">
        <v>69927.954580000005</v>
      </c>
      <c r="AC8" s="46">
        <v>0.75186903326786536</v>
      </c>
      <c r="AD8" s="47">
        <v>343340.77142777352</v>
      </c>
      <c r="AE8" s="47">
        <v>346281.91331670003</v>
      </c>
      <c r="AF8" s="46">
        <v>1.0085662471039949</v>
      </c>
      <c r="AG8" s="48">
        <v>40158.081539999999</v>
      </c>
      <c r="AH8" s="48">
        <v>55757.711069999998</v>
      </c>
      <c r="AI8" s="49">
        <v>1.3884555469728248</v>
      </c>
      <c r="AJ8" s="48">
        <v>220102.88263742128</v>
      </c>
      <c r="AK8" s="48">
        <v>303413.18962611392</v>
      </c>
      <c r="AL8" s="49">
        <v>1.3785062057816433</v>
      </c>
      <c r="AM8" s="48">
        <v>38195.700422270151</v>
      </c>
      <c r="AN8" s="48">
        <v>19972.518782663366</v>
      </c>
      <c r="AO8" s="49">
        <v>0.52289966048163661</v>
      </c>
      <c r="AP8" s="50">
        <v>115130.76140237512</v>
      </c>
      <c r="AQ8" s="50">
        <v>104276.85048218211</v>
      </c>
      <c r="AR8" s="49">
        <v>0.90572536142396176</v>
      </c>
      <c r="AS8" s="48">
        <v>413587.42600206658</v>
      </c>
      <c r="AT8" s="48">
        <v>483420.2699609595</v>
      </c>
      <c r="AU8" s="51">
        <v>1.1688466320988782</v>
      </c>
      <c r="AV8" s="48">
        <v>84626.257081745498</v>
      </c>
      <c r="AW8" s="48">
        <v>110243.03654</v>
      </c>
      <c r="AX8" s="52">
        <v>1.3027048618434081</v>
      </c>
      <c r="AY8" s="48">
        <v>312395.18456998002</v>
      </c>
      <c r="AZ8" s="48">
        <v>349379.11840750999</v>
      </c>
      <c r="BA8" s="52">
        <v>1.1183882968248673</v>
      </c>
      <c r="BB8" s="48">
        <v>144459.413712749</v>
      </c>
      <c r="BC8" s="48">
        <v>113590.28626792401</v>
      </c>
      <c r="BD8" s="52">
        <v>0.78631280128128689</v>
      </c>
      <c r="BE8" s="53">
        <v>26247.483332649299</v>
      </c>
      <c r="BF8" s="53">
        <v>21945.433106538501</v>
      </c>
      <c r="BG8" s="52">
        <v>0.83609665842669689</v>
      </c>
      <c r="BH8" s="48">
        <v>567728.33869712381</v>
      </c>
      <c r="BI8" s="48">
        <v>595157.87432197249</v>
      </c>
      <c r="BJ8" s="52">
        <v>1.0483145436914363</v>
      </c>
      <c r="BK8" s="54">
        <v>71363.516584500001</v>
      </c>
      <c r="BL8" s="54">
        <v>81528.277601499984</v>
      </c>
      <c r="BM8" s="55">
        <v>1.1424363807095199</v>
      </c>
      <c r="BN8" s="54">
        <v>350108.48907414405</v>
      </c>
      <c r="BO8" s="54">
        <v>397097.84934157511</v>
      </c>
      <c r="BP8" s="55">
        <v>1.1342137129884899</v>
      </c>
      <c r="BQ8" s="54">
        <v>62850.361657290829</v>
      </c>
      <c r="BR8" s="54">
        <v>46084.676911910399</v>
      </c>
      <c r="BS8" s="55">
        <v>0.73324441891360925</v>
      </c>
      <c r="BT8" s="54">
        <v>105375.47000385834</v>
      </c>
      <c r="BU8" s="54">
        <v>88553.900471763191</v>
      </c>
      <c r="BV8" s="55">
        <v>0.84036541396703401</v>
      </c>
      <c r="BW8" s="54">
        <v>589697.83731979318</v>
      </c>
      <c r="BX8" s="54">
        <v>613264.70432674873</v>
      </c>
      <c r="BY8" s="55">
        <v>1.0399643097116791</v>
      </c>
      <c r="BZ8" s="56">
        <v>49253.799472500003</v>
      </c>
      <c r="CA8" s="56">
        <v>49305.463538074997</v>
      </c>
      <c r="CB8" s="57">
        <v>1.0010489356380281</v>
      </c>
      <c r="CC8" s="56">
        <v>424781.39004998282</v>
      </c>
      <c r="CD8" s="56">
        <v>471031.85524308105</v>
      </c>
      <c r="CE8" s="57">
        <v>1.1088806296049272</v>
      </c>
      <c r="CF8" s="56">
        <v>87752.096322157115</v>
      </c>
      <c r="CG8" s="56">
        <v>65168.972010800899</v>
      </c>
      <c r="CH8" s="57">
        <v>0.74264860604071914</v>
      </c>
      <c r="CI8" s="56">
        <v>116490.71959098305</v>
      </c>
      <c r="CJ8" s="56">
        <v>86485.659302278305</v>
      </c>
      <c r="CK8" s="57">
        <v>0.74242531599034534</v>
      </c>
      <c r="CL8" s="56">
        <v>678278.00543562288</v>
      </c>
      <c r="CM8" s="56">
        <v>671991.95009423525</v>
      </c>
      <c r="CN8" s="57">
        <v>0.99073233203640387</v>
      </c>
      <c r="CO8" s="58">
        <v>24350.601708500002</v>
      </c>
      <c r="CP8" s="58">
        <v>32561.809725000003</v>
      </c>
      <c r="CQ8" s="59">
        <v>1.3372076022923793</v>
      </c>
      <c r="CR8" s="58">
        <v>555118.27829261322</v>
      </c>
      <c r="CS8" s="58">
        <v>605246.06719450001</v>
      </c>
      <c r="CT8" s="59">
        <v>1.0903010959323223</v>
      </c>
      <c r="CU8" s="58">
        <v>100265.15380925297</v>
      </c>
      <c r="CV8" s="58">
        <v>75887.810141499998</v>
      </c>
      <c r="CW8" s="59">
        <v>0.75687122852143562</v>
      </c>
      <c r="CX8" s="58">
        <v>116819.54828039762</v>
      </c>
      <c r="CY8" s="58">
        <v>84772.897908999992</v>
      </c>
      <c r="CZ8" s="59">
        <v>0.72567390609594518</v>
      </c>
      <c r="DA8" s="58">
        <v>796553.58209076384</v>
      </c>
      <c r="DB8" s="58">
        <v>798468.58496999997</v>
      </c>
      <c r="DC8" s="59">
        <v>1.0024041105611623</v>
      </c>
      <c r="DD8" s="58">
        <v>12495.255113500001</v>
      </c>
      <c r="DE8" s="58">
        <v>2761.6915044999996</v>
      </c>
      <c r="DF8" s="59">
        <v>0.22101921724801279</v>
      </c>
      <c r="DG8" s="58">
        <v>710585.01024701993</v>
      </c>
      <c r="DH8" s="58">
        <v>718633.68093099992</v>
      </c>
      <c r="DI8" s="59">
        <v>1.0113268230653811</v>
      </c>
      <c r="DJ8" s="58">
        <v>106356.969680562</v>
      </c>
      <c r="DK8" s="58">
        <v>88050.975541499996</v>
      </c>
      <c r="DL8" s="59">
        <v>0.8278815747191447</v>
      </c>
      <c r="DM8" s="58">
        <v>119732.54299118553</v>
      </c>
      <c r="DN8" s="58">
        <v>95644.116632499994</v>
      </c>
      <c r="DO8" s="59">
        <v>0.79881471021242001</v>
      </c>
      <c r="DP8" s="58">
        <v>949169.77803226758</v>
      </c>
      <c r="DQ8" s="58">
        <v>905090.4646094999</v>
      </c>
      <c r="DR8" s="59">
        <v>0.95356013808809958</v>
      </c>
      <c r="DS8" s="58">
        <v>32485.976839999999</v>
      </c>
      <c r="DT8" s="58">
        <v>28263.939837499998</v>
      </c>
      <c r="DU8" s="59">
        <v>0.87003509165525827</v>
      </c>
      <c r="DV8" s="58">
        <v>912214.09749763529</v>
      </c>
      <c r="DW8" s="58">
        <v>1197114.07693</v>
      </c>
      <c r="DX8" s="59">
        <v>1.3123170100241772</v>
      </c>
      <c r="DY8" s="58">
        <v>120029.41896717783</v>
      </c>
      <c r="DZ8" s="58">
        <v>128717.286074</v>
      </c>
      <c r="EA8" s="59">
        <v>1.0723811477351055</v>
      </c>
      <c r="EB8" s="58">
        <v>124097.45103080019</v>
      </c>
      <c r="EC8" s="58">
        <v>126854.26289950001</v>
      </c>
      <c r="ED8" s="59">
        <v>1.0222148951956764</v>
      </c>
      <c r="EE8" s="58">
        <v>1188826.9443356132</v>
      </c>
      <c r="EF8" s="58">
        <v>1480949.565741</v>
      </c>
      <c r="EG8" s="59">
        <v>1.2457234190369417</v>
      </c>
    </row>
    <row r="9" spans="1:137" x14ac:dyDescent="0.2">
      <c r="A9" s="41">
        <v>3</v>
      </c>
      <c r="B9" s="42" t="s">
        <v>31</v>
      </c>
      <c r="C9" s="43">
        <v>16721</v>
      </c>
      <c r="D9" s="43">
        <v>21737.24</v>
      </c>
      <c r="E9" s="44">
        <v>1.2999964116978651</v>
      </c>
      <c r="F9" s="43">
        <v>88265.99</v>
      </c>
      <c r="G9" s="43">
        <v>96245</v>
      </c>
      <c r="H9" s="44">
        <v>1.0903973319735041</v>
      </c>
      <c r="I9" s="43">
        <v>39843.199999999997</v>
      </c>
      <c r="J9" s="43">
        <v>38603.9</v>
      </c>
      <c r="K9" s="44">
        <v>0.9688955706368968</v>
      </c>
      <c r="L9" s="43">
        <v>31041.57</v>
      </c>
      <c r="M9" s="43">
        <v>40499.53</v>
      </c>
      <c r="N9" s="44">
        <v>1.3046869085552051</v>
      </c>
      <c r="O9" s="43">
        <v>175871.76</v>
      </c>
      <c r="P9" s="43">
        <v>197085.67</v>
      </c>
      <c r="Q9" s="44">
        <v>1.1206214687338092</v>
      </c>
      <c r="R9" s="45">
        <v>5289.36</v>
      </c>
      <c r="S9" s="45">
        <v>22921.64</v>
      </c>
      <c r="T9" s="46">
        <v>4.3335375168262322</v>
      </c>
      <c r="U9" s="47">
        <v>107710</v>
      </c>
      <c r="V9" s="47">
        <v>119271</v>
      </c>
      <c r="W9" s="46">
        <v>1.10733450933061</v>
      </c>
      <c r="X9" s="47">
        <v>52792.35</v>
      </c>
      <c r="Y9" s="47">
        <v>49193.13</v>
      </c>
      <c r="Z9" s="46">
        <v>0.93182307663894481</v>
      </c>
      <c r="AA9" s="47">
        <v>28797.07</v>
      </c>
      <c r="AB9" s="47">
        <v>35385</v>
      </c>
      <c r="AC9" s="46">
        <v>1.2287708437004181</v>
      </c>
      <c r="AD9" s="47">
        <v>194588.78</v>
      </c>
      <c r="AE9" s="47">
        <v>226770.77</v>
      </c>
      <c r="AF9" s="46">
        <v>1.1653846126174385</v>
      </c>
      <c r="AG9" s="48">
        <v>2771.91768</v>
      </c>
      <c r="AH9" s="48">
        <v>2436.3225000000002</v>
      </c>
      <c r="AI9" s="49">
        <v>0.87893032234636936</v>
      </c>
      <c r="AJ9" s="48">
        <v>134795.06</v>
      </c>
      <c r="AK9" s="48">
        <v>160284.17421500001</v>
      </c>
      <c r="AL9" s="49">
        <v>1.1890953141383669</v>
      </c>
      <c r="AM9" s="48">
        <v>55289.752034999998</v>
      </c>
      <c r="AN9" s="48">
        <v>60976.738192249999</v>
      </c>
      <c r="AO9" s="49">
        <v>1.1028578705444361</v>
      </c>
      <c r="AP9" s="50">
        <v>28283.126380000002</v>
      </c>
      <c r="AQ9" s="50">
        <v>35645.796376999999</v>
      </c>
      <c r="AR9" s="49">
        <v>1.2603202311540214</v>
      </c>
      <c r="AS9" s="48">
        <v>221139.85609500002</v>
      </c>
      <c r="AT9" s="48">
        <v>259343.03128425</v>
      </c>
      <c r="AU9" s="51">
        <v>1.1727557205827166</v>
      </c>
      <c r="AV9" s="48">
        <v>3332.9985999999999</v>
      </c>
      <c r="AW9" s="48">
        <v>1820.4518700000001</v>
      </c>
      <c r="AX9" s="52">
        <v>0.54619040944091612</v>
      </c>
      <c r="AY9" s="48">
        <v>177127.02544999999</v>
      </c>
      <c r="AZ9" s="48">
        <v>232570.09382826</v>
      </c>
      <c r="BA9" s="52">
        <v>1.3130130381707938</v>
      </c>
      <c r="BB9" s="48">
        <v>70686.243340000001</v>
      </c>
      <c r="BC9" s="48">
        <v>71222.371889140006</v>
      </c>
      <c r="BD9" s="52">
        <v>1.0075846235958705</v>
      </c>
      <c r="BE9" s="53">
        <v>30079.333590000002</v>
      </c>
      <c r="BF9" s="53">
        <v>37427.762450412003</v>
      </c>
      <c r="BG9" s="52">
        <v>1.2443015846220415</v>
      </c>
      <c r="BH9" s="48">
        <v>281225.60097999999</v>
      </c>
      <c r="BI9" s="48">
        <v>343040.68003781198</v>
      </c>
      <c r="BJ9" s="52">
        <v>1.2198060163882736</v>
      </c>
      <c r="BK9" s="54">
        <v>2981.95892</v>
      </c>
      <c r="BL9" s="54">
        <v>3913.1750000000002</v>
      </c>
      <c r="BM9" s="55">
        <v>1.31228333621712</v>
      </c>
      <c r="BN9" s="54">
        <v>216156.503518732</v>
      </c>
      <c r="BO9" s="54">
        <v>239950.11224399999</v>
      </c>
      <c r="BP9" s="55">
        <v>1.1100758401340722</v>
      </c>
      <c r="BQ9" s="54">
        <v>88173.802100169996</v>
      </c>
      <c r="BR9" s="54">
        <v>71761.993835999994</v>
      </c>
      <c r="BS9" s="55">
        <v>0.81386979042226915</v>
      </c>
      <c r="BT9" s="54">
        <v>34056.172679488001</v>
      </c>
      <c r="BU9" s="54">
        <v>33783.62298</v>
      </c>
      <c r="BV9" s="55">
        <v>0.99199705433569885</v>
      </c>
      <c r="BW9" s="54">
        <v>341368.43721839</v>
      </c>
      <c r="BX9" s="54">
        <v>349408.90405999997</v>
      </c>
      <c r="BY9" s="55">
        <v>1.0235536328640309</v>
      </c>
      <c r="BZ9" s="56">
        <v>10101.98943</v>
      </c>
      <c r="CA9" s="56">
        <v>4332.165524</v>
      </c>
      <c r="CB9" s="57">
        <v>0.42884280903469529</v>
      </c>
      <c r="CC9" s="56">
        <v>234365.74715342696</v>
      </c>
      <c r="CD9" s="56">
        <v>283400.39605490601</v>
      </c>
      <c r="CE9" s="57">
        <v>1.2092227618457345</v>
      </c>
      <c r="CF9" s="56">
        <v>89301.004334370009</v>
      </c>
      <c r="CG9" s="56">
        <v>78639.61219</v>
      </c>
      <c r="CH9" s="57">
        <v>0.88061285285828894</v>
      </c>
      <c r="CI9" s="56">
        <v>31966.761852935</v>
      </c>
      <c r="CJ9" s="56">
        <v>29264.764090000001</v>
      </c>
      <c r="CK9" s="57">
        <v>0.91547477422437396</v>
      </c>
      <c r="CL9" s="56">
        <v>365735.50277073198</v>
      </c>
      <c r="CM9" s="56">
        <v>395636.93785890605</v>
      </c>
      <c r="CN9" s="57">
        <v>1.0817569934054729</v>
      </c>
      <c r="CO9" s="58">
        <v>20261.956871999999</v>
      </c>
      <c r="CP9" s="58">
        <v>22499.393530458787</v>
      </c>
      <c r="CQ9" s="59">
        <v>1.1104254970333445</v>
      </c>
      <c r="CR9" s="58">
        <v>271264.54349380394</v>
      </c>
      <c r="CS9" s="58">
        <v>274414.17817700002</v>
      </c>
      <c r="CT9" s="59">
        <v>1.0116109338973305</v>
      </c>
      <c r="CU9" s="58">
        <v>96167.218378185993</v>
      </c>
      <c r="CV9" s="58">
        <v>91442.303513499995</v>
      </c>
      <c r="CW9" s="59">
        <v>0.95086771828935657</v>
      </c>
      <c r="CX9" s="58">
        <v>32725.570185865003</v>
      </c>
      <c r="CY9" s="58">
        <v>38892.9308685</v>
      </c>
      <c r="CZ9" s="59">
        <v>1.1884569358946979</v>
      </c>
      <c r="DA9" s="58">
        <v>420419.28892985493</v>
      </c>
      <c r="DB9" s="58">
        <v>427248.80608945887</v>
      </c>
      <c r="DC9" s="59">
        <v>1.0162445381062033</v>
      </c>
      <c r="DD9" s="58">
        <v>14090.470800200001</v>
      </c>
      <c r="DE9" s="58">
        <v>30948.823356499997</v>
      </c>
      <c r="DF9" s="59">
        <v>2.1964364282321007</v>
      </c>
      <c r="DG9" s="58">
        <v>258172.88877000002</v>
      </c>
      <c r="DH9" s="58">
        <v>312765.88505849999</v>
      </c>
      <c r="DI9" s="59">
        <v>1.2114590596580246</v>
      </c>
      <c r="DJ9" s="58">
        <v>100856.20239000001</v>
      </c>
      <c r="DK9" s="58">
        <v>99458.475000999999</v>
      </c>
      <c r="DL9" s="59">
        <v>0.98614138391216488</v>
      </c>
      <c r="DM9" s="58">
        <v>47847.830150000002</v>
      </c>
      <c r="DN9" s="58">
        <v>66721.635607999997</v>
      </c>
      <c r="DO9" s="59">
        <v>1.3944547829824629</v>
      </c>
      <c r="DP9" s="58">
        <v>420967.39211020002</v>
      </c>
      <c r="DQ9" s="58">
        <v>509894.81902399997</v>
      </c>
      <c r="DR9" s="59">
        <v>1.2112454042296006</v>
      </c>
      <c r="DS9" s="58">
        <v>62276.742410000006</v>
      </c>
      <c r="DT9" s="58">
        <v>82740.305850000004</v>
      </c>
      <c r="DU9" s="59">
        <v>1.3285907812145628</v>
      </c>
      <c r="DV9" s="58">
        <v>351154.49830246298</v>
      </c>
      <c r="DW9" s="58">
        <v>455005.56826668</v>
      </c>
      <c r="DX9" s="59">
        <v>1.2957418186759666</v>
      </c>
      <c r="DY9" s="58">
        <v>97083.764404350004</v>
      </c>
      <c r="DZ9" s="58">
        <v>128329.25272039001</v>
      </c>
      <c r="EA9" s="59">
        <v>1.3218405106944946</v>
      </c>
      <c r="EB9" s="58">
        <v>32266.765823819998</v>
      </c>
      <c r="EC9" s="58">
        <v>75571.99036262001</v>
      </c>
      <c r="ED9" s="59">
        <v>2.3420999419418478</v>
      </c>
      <c r="EE9" s="58">
        <v>542781.77094063303</v>
      </c>
      <c r="EF9" s="58">
        <v>741647.11719968996</v>
      </c>
      <c r="EG9" s="59">
        <v>1.3663817705491954</v>
      </c>
    </row>
    <row r="10" spans="1:137" x14ac:dyDescent="0.2">
      <c r="A10" s="41">
        <v>4</v>
      </c>
      <c r="B10" s="42" t="s">
        <v>32</v>
      </c>
      <c r="C10" s="43">
        <v>28127</v>
      </c>
      <c r="D10" s="43">
        <v>34792</v>
      </c>
      <c r="E10" s="44">
        <v>1.2369609272229531</v>
      </c>
      <c r="F10" s="43">
        <v>117635</v>
      </c>
      <c r="G10" s="43">
        <v>139086</v>
      </c>
      <c r="H10" s="44">
        <v>1.18</v>
      </c>
      <c r="I10" s="43">
        <v>15181</v>
      </c>
      <c r="J10" s="43">
        <v>15359</v>
      </c>
      <c r="K10" s="44">
        <v>1.01</v>
      </c>
      <c r="L10" s="43">
        <v>46081</v>
      </c>
      <c r="M10" s="43">
        <v>47800</v>
      </c>
      <c r="N10" s="44">
        <v>1.03</v>
      </c>
      <c r="O10" s="43">
        <v>207024</v>
      </c>
      <c r="P10" s="43">
        <v>237037</v>
      </c>
      <c r="Q10" s="44">
        <v>1.1449735296390757</v>
      </c>
      <c r="R10" s="45">
        <v>38403</v>
      </c>
      <c r="S10" s="45">
        <v>49228</v>
      </c>
      <c r="T10" s="46">
        <v>1.2818790198682395</v>
      </c>
      <c r="U10" s="47">
        <v>166501</v>
      </c>
      <c r="V10" s="47">
        <v>218294</v>
      </c>
      <c r="W10" s="46">
        <v>1.3110672007975928</v>
      </c>
      <c r="X10" s="47">
        <v>22865</v>
      </c>
      <c r="Y10" s="47">
        <v>22106</v>
      </c>
      <c r="Z10" s="46">
        <v>0.96680516072600042</v>
      </c>
      <c r="AA10" s="47">
        <v>52905</v>
      </c>
      <c r="AB10" s="47">
        <v>55018</v>
      </c>
      <c r="AC10" s="46">
        <v>1.0399395142236083</v>
      </c>
      <c r="AD10" s="47">
        <v>280674</v>
      </c>
      <c r="AE10" s="47">
        <v>344646</v>
      </c>
      <c r="AF10" s="46">
        <v>1.2279227858654524</v>
      </c>
      <c r="AG10" s="48">
        <v>39942</v>
      </c>
      <c r="AH10" s="48">
        <v>44342</v>
      </c>
      <c r="AI10" s="49">
        <v>1.1101597316108358</v>
      </c>
      <c r="AJ10" s="48">
        <v>240478</v>
      </c>
      <c r="AK10" s="48">
        <v>320104</v>
      </c>
      <c r="AL10" s="49">
        <v>1.3311155282395895</v>
      </c>
      <c r="AM10" s="48">
        <v>20238</v>
      </c>
      <c r="AN10" s="48">
        <v>20333</v>
      </c>
      <c r="AO10" s="49">
        <v>1.0046941397371281</v>
      </c>
      <c r="AP10" s="50">
        <v>53408</v>
      </c>
      <c r="AQ10" s="50">
        <v>55280</v>
      </c>
      <c r="AR10" s="49">
        <v>1.0350509286998202</v>
      </c>
      <c r="AS10" s="48">
        <v>354066</v>
      </c>
      <c r="AT10" s="48">
        <v>440059</v>
      </c>
      <c r="AU10" s="51">
        <v>1.2428727977269776</v>
      </c>
      <c r="AV10" s="48">
        <v>62761</v>
      </c>
      <c r="AW10" s="48">
        <v>72534.53</v>
      </c>
      <c r="AX10" s="52">
        <v>1.1557261675244179</v>
      </c>
      <c r="AY10" s="48">
        <v>273018</v>
      </c>
      <c r="AZ10" s="48">
        <v>446140.73</v>
      </c>
      <c r="BA10" s="52">
        <v>1.6341073848610714</v>
      </c>
      <c r="BB10" s="48">
        <v>32296</v>
      </c>
      <c r="BC10" s="48">
        <v>26235</v>
      </c>
      <c r="BD10" s="52">
        <v>0.81232970027247953</v>
      </c>
      <c r="BE10" s="53">
        <v>67069</v>
      </c>
      <c r="BF10" s="53">
        <v>68991</v>
      </c>
      <c r="BG10" s="52">
        <v>1.0286570546750362</v>
      </c>
      <c r="BH10" s="48">
        <v>435144</v>
      </c>
      <c r="BI10" s="48">
        <v>613901.26</v>
      </c>
      <c r="BJ10" s="52">
        <v>1.4108002408398139</v>
      </c>
      <c r="BK10" s="54">
        <v>59441</v>
      </c>
      <c r="BL10" s="54">
        <v>70810.021000000008</v>
      </c>
      <c r="BM10" s="55">
        <v>1.1912656415605392</v>
      </c>
      <c r="BN10" s="54">
        <v>291816</v>
      </c>
      <c r="BO10" s="54">
        <v>344679.50315</v>
      </c>
      <c r="BP10" s="55">
        <v>1.1811535458987856</v>
      </c>
      <c r="BQ10" s="54">
        <v>32035</v>
      </c>
      <c r="BR10" s="54">
        <v>23771.83928</v>
      </c>
      <c r="BS10" s="55">
        <v>0.74205835117839858</v>
      </c>
      <c r="BT10" s="54">
        <v>58689</v>
      </c>
      <c r="BU10" s="54">
        <v>52378.950290000001</v>
      </c>
      <c r="BV10" s="55">
        <v>0.8924832641551228</v>
      </c>
      <c r="BW10" s="54">
        <v>441981</v>
      </c>
      <c r="BX10" s="54">
        <v>491640.31372000003</v>
      </c>
      <c r="BY10" s="55">
        <v>1.1123562182989768</v>
      </c>
      <c r="BZ10" s="56">
        <v>64266.546064249997</v>
      </c>
      <c r="CA10" s="56">
        <v>64636.810291952504</v>
      </c>
      <c r="CB10" s="57">
        <v>1.0057613836494703</v>
      </c>
      <c r="CC10" s="56">
        <v>298332.90577348246</v>
      </c>
      <c r="CD10" s="56">
        <v>344074.72373560449</v>
      </c>
      <c r="CE10" s="57">
        <v>1.1533247492211025</v>
      </c>
      <c r="CF10" s="56">
        <v>33100.066363225</v>
      </c>
      <c r="CG10" s="56">
        <v>32028.538026499318</v>
      </c>
      <c r="CH10" s="57">
        <v>0.9676276076015311</v>
      </c>
      <c r="CI10" s="56">
        <v>57325.176428840008</v>
      </c>
      <c r="CJ10" s="56">
        <v>66296.920172625949</v>
      </c>
      <c r="CK10" s="57">
        <v>1.156506168889387</v>
      </c>
      <c r="CL10" s="56">
        <v>453024.69462979748</v>
      </c>
      <c r="CM10" s="56">
        <v>507036.99222668225</v>
      </c>
      <c r="CN10" s="57">
        <v>1.1192259455988873</v>
      </c>
      <c r="CO10" s="58">
        <v>67611.493142249994</v>
      </c>
      <c r="CP10" s="58">
        <v>56931.052654974999</v>
      </c>
      <c r="CQ10" s="59">
        <v>0.84203217543496534</v>
      </c>
      <c r="CR10" s="58">
        <v>325587.10534922744</v>
      </c>
      <c r="CS10" s="58">
        <v>346980.3381676767</v>
      </c>
      <c r="CT10" s="59">
        <v>1.0657066341601664</v>
      </c>
      <c r="CU10" s="58">
        <v>39779.411341974999</v>
      </c>
      <c r="CV10" s="58">
        <v>37477.850550586132</v>
      </c>
      <c r="CW10" s="59">
        <v>0.94214190925041985</v>
      </c>
      <c r="CX10" s="58">
        <v>68268.070681967511</v>
      </c>
      <c r="CY10" s="58">
        <v>71845.391265290382</v>
      </c>
      <c r="CZ10" s="59">
        <v>1.0524010792686396</v>
      </c>
      <c r="DA10" s="58">
        <v>501246.08051541995</v>
      </c>
      <c r="DB10" s="58">
        <v>513234.63263852819</v>
      </c>
      <c r="DC10" s="59">
        <v>1.0239174979897712</v>
      </c>
      <c r="DD10" s="58">
        <v>146503.70195049999</v>
      </c>
      <c r="DE10" s="58">
        <v>194437.44467095498</v>
      </c>
      <c r="DF10" s="59">
        <v>1.3271845153554593</v>
      </c>
      <c r="DG10" s="58">
        <v>273750.616784735</v>
      </c>
      <c r="DH10" s="58">
        <v>261993.24670313401</v>
      </c>
      <c r="DI10" s="59">
        <v>0.95705079966688644</v>
      </c>
      <c r="DJ10" s="58">
        <v>45251.326444750004</v>
      </c>
      <c r="DK10" s="58">
        <v>45533.101311663304</v>
      </c>
      <c r="DL10" s="59">
        <v>1.0062268863490076</v>
      </c>
      <c r="DM10" s="58">
        <v>77218.331814709993</v>
      </c>
      <c r="DN10" s="58">
        <v>75615.586433477802</v>
      </c>
      <c r="DO10" s="59">
        <v>0.97924397816469189</v>
      </c>
      <c r="DP10" s="58">
        <v>542723.97699469491</v>
      </c>
      <c r="DQ10" s="58">
        <v>577579.37911923009</v>
      </c>
      <c r="DR10" s="59">
        <v>1.0642230739786827</v>
      </c>
      <c r="DS10" s="58">
        <v>217193.82011475004</v>
      </c>
      <c r="DT10" s="58">
        <v>248796.29317941499</v>
      </c>
      <c r="DU10" s="59">
        <v>1.1455035555245927</v>
      </c>
      <c r="DV10" s="58">
        <v>239071.44972969993</v>
      </c>
      <c r="DW10" s="58">
        <v>313000.67809364217</v>
      </c>
      <c r="DX10" s="59">
        <v>1.3092348686868651</v>
      </c>
      <c r="DY10" s="58">
        <v>50971.356515499989</v>
      </c>
      <c r="DZ10" s="58">
        <v>61145.10090042575</v>
      </c>
      <c r="EA10" s="59">
        <v>1.1995972852288521</v>
      </c>
      <c r="EB10" s="58">
        <v>79648.524903832498</v>
      </c>
      <c r="EC10" s="58">
        <v>90626.527590357291</v>
      </c>
      <c r="ED10" s="59">
        <v>1.1378305838027711</v>
      </c>
      <c r="EE10" s="58">
        <v>586885.15126378241</v>
      </c>
      <c r="EF10" s="58">
        <v>713568.5997638402</v>
      </c>
      <c r="EG10" s="59">
        <v>1.2158573073918486</v>
      </c>
    </row>
    <row r="11" spans="1:137" s="74" customFormat="1" x14ac:dyDescent="0.2">
      <c r="A11" s="60"/>
      <c r="B11" s="28" t="s">
        <v>33</v>
      </c>
      <c r="C11" s="61">
        <v>98727.997422098037</v>
      </c>
      <c r="D11" s="61">
        <v>104123.31</v>
      </c>
      <c r="E11" s="62">
        <v>1.0546482529655195</v>
      </c>
      <c r="F11" s="61">
        <v>472068.67168568389</v>
      </c>
      <c r="G11" s="61">
        <v>539964.52734000003</v>
      </c>
      <c r="H11" s="62">
        <v>1.1438262264086929</v>
      </c>
      <c r="I11" s="61">
        <v>76123.562261931991</v>
      </c>
      <c r="J11" s="61">
        <v>72854.391199999998</v>
      </c>
      <c r="K11" s="62">
        <v>0.95705441305172811</v>
      </c>
      <c r="L11" s="61">
        <v>286469.54125027469</v>
      </c>
      <c r="M11" s="61">
        <v>276398.90212290001</v>
      </c>
      <c r="N11" s="62">
        <v>0.96484568976016738</v>
      </c>
      <c r="O11" s="61">
        <v>933389.77261998865</v>
      </c>
      <c r="P11" s="61">
        <v>992036.13114290009</v>
      </c>
      <c r="Q11" s="62">
        <v>1.0628315846640288</v>
      </c>
      <c r="R11" s="63">
        <f>SUM(R7:R10)</f>
        <v>150553.3083216667</v>
      </c>
      <c r="S11" s="63">
        <f>SUM(S7:S10)</f>
        <v>175421.42379999999</v>
      </c>
      <c r="T11" s="62">
        <f>S11/R11</f>
        <v>1.1651781402584722</v>
      </c>
      <c r="U11" s="63">
        <f t="shared" ref="U11:V11" si="0">SUM(U7:U10)</f>
        <v>608943.47265219828</v>
      </c>
      <c r="V11" s="63">
        <f t="shared" si="0"/>
        <v>749653.11743670003</v>
      </c>
      <c r="W11" s="62">
        <f t="shared" ref="W11" si="1">V11/U11</f>
        <v>1.2310717679124692</v>
      </c>
      <c r="X11" s="63">
        <f t="shared" ref="X11:Y11" si="2">SUM(X7:X10)</f>
        <v>143862.01050940418</v>
      </c>
      <c r="Y11" s="63">
        <f t="shared" si="2"/>
        <v>134278.61749999999</v>
      </c>
      <c r="Z11" s="62">
        <f t="shared" ref="Z11" si="3">Y11/X11</f>
        <v>0.93338482497589093</v>
      </c>
      <c r="AA11" s="63">
        <f t="shared" ref="AA11:AB11" si="4">SUM(AA7:AA10)</f>
        <v>274153.83894450444</v>
      </c>
      <c r="AB11" s="63">
        <f t="shared" si="4"/>
        <v>262754.59458000003</v>
      </c>
      <c r="AC11" s="62">
        <f t="shared" ref="AC11" si="5">AB11/AA11</f>
        <v>0.95842026357029453</v>
      </c>
      <c r="AD11" s="63">
        <f t="shared" ref="AD11:AE11" si="6">SUM(AD7:AD10)</f>
        <v>1177512.6304277736</v>
      </c>
      <c r="AE11" s="63">
        <f t="shared" si="6"/>
        <v>1322107.7533167</v>
      </c>
      <c r="AF11" s="62">
        <f t="shared" ref="AF11" si="7">AE11/AD11</f>
        <v>1.1227970886702057</v>
      </c>
      <c r="AG11" s="64">
        <v>173326.22921999998</v>
      </c>
      <c r="AH11" s="64">
        <v>203303.80356999999</v>
      </c>
      <c r="AI11" s="65">
        <v>1.1729546329191181</v>
      </c>
      <c r="AJ11" s="64">
        <v>763472.93263742118</v>
      </c>
      <c r="AK11" s="64">
        <v>998058.49384111399</v>
      </c>
      <c r="AL11" s="65">
        <v>1.3072611368071894</v>
      </c>
      <c r="AM11" s="64">
        <v>138944.11245727015</v>
      </c>
      <c r="AN11" s="64">
        <v>135465.63697491336</v>
      </c>
      <c r="AO11" s="65">
        <v>0.9749649307132281</v>
      </c>
      <c r="AP11" s="66">
        <v>302394.79778237513</v>
      </c>
      <c r="AQ11" s="66">
        <v>281639.96685918211</v>
      </c>
      <c r="AR11" s="65">
        <v>0.93136511912440478</v>
      </c>
      <c r="AS11" s="64">
        <v>1378138.0720970668</v>
      </c>
      <c r="AT11" s="64">
        <v>1618467.9012452096</v>
      </c>
      <c r="AU11" s="67">
        <v>1.1743873375346499</v>
      </c>
      <c r="AV11" s="64">
        <v>230766.2556817455</v>
      </c>
      <c r="AW11" s="64">
        <v>285902.53267470002</v>
      </c>
      <c r="AX11" s="68">
        <v>1.2389269472266087</v>
      </c>
      <c r="AY11" s="64">
        <v>932780.21001997998</v>
      </c>
      <c r="AZ11" s="64">
        <v>1282616.9422357699</v>
      </c>
      <c r="BA11" s="68">
        <v>1.3750473353291839</v>
      </c>
      <c r="BB11" s="64">
        <v>283486.65705274901</v>
      </c>
      <c r="BC11" s="64">
        <v>246586.02605706401</v>
      </c>
      <c r="BD11" s="68">
        <v>0.86983291778413818</v>
      </c>
      <c r="BE11" s="69">
        <v>211737.8169226493</v>
      </c>
      <c r="BF11" s="69">
        <v>214890.12569035051</v>
      </c>
      <c r="BG11" s="68">
        <v>1.0148877929012217</v>
      </c>
      <c r="BH11" s="64">
        <v>1658770.9396771239</v>
      </c>
      <c r="BI11" s="64">
        <v>2029995.6266578843</v>
      </c>
      <c r="BJ11" s="68">
        <v>1.2237950268486246</v>
      </c>
      <c r="BK11" s="70">
        <v>226062.47550450001</v>
      </c>
      <c r="BL11" s="70">
        <v>262060.47360149998</v>
      </c>
      <c r="BM11" s="71">
        <v>1.1592391573022627</v>
      </c>
      <c r="BN11" s="70">
        <v>1027586.9925928761</v>
      </c>
      <c r="BO11" s="70">
        <v>1193064.464735575</v>
      </c>
      <c r="BP11" s="71">
        <v>1.1610350007692829</v>
      </c>
      <c r="BQ11" s="70">
        <v>217447.16375746083</v>
      </c>
      <c r="BR11" s="70">
        <v>189739.51002791041</v>
      </c>
      <c r="BS11" s="71">
        <v>0.87257753446508335</v>
      </c>
      <c r="BT11" s="70">
        <v>276303.64268334629</v>
      </c>
      <c r="BU11" s="70">
        <v>245711.47374176321</v>
      </c>
      <c r="BV11" s="71">
        <v>0.88928061662711133</v>
      </c>
      <c r="BW11" s="70">
        <v>1747400.2745381831</v>
      </c>
      <c r="BX11" s="70">
        <v>1890575.9221067489</v>
      </c>
      <c r="BY11" s="71">
        <v>1.0819363769451193</v>
      </c>
      <c r="BZ11" s="56">
        <v>162722.33496675</v>
      </c>
      <c r="CA11" s="56">
        <v>140374.43935402751</v>
      </c>
      <c r="CB11" s="57">
        <v>0.8626623959317633</v>
      </c>
      <c r="CC11" s="56">
        <v>1127920.0429768923</v>
      </c>
      <c r="CD11" s="56">
        <v>1294606.9750335915</v>
      </c>
      <c r="CE11" s="57">
        <v>1.1477825782905378</v>
      </c>
      <c r="CF11" s="56">
        <v>249983.16701975212</v>
      </c>
      <c r="CG11" s="56">
        <v>230910.12222730025</v>
      </c>
      <c r="CH11" s="57">
        <v>0.92370268358531182</v>
      </c>
      <c r="CI11" s="56">
        <v>295253.65787275811</v>
      </c>
      <c r="CJ11" s="56">
        <v>261687.34356490427</v>
      </c>
      <c r="CK11" s="57">
        <v>0.88631363773884386</v>
      </c>
      <c r="CL11" s="56">
        <v>1835879.2028361524</v>
      </c>
      <c r="CM11" s="56">
        <v>1927578.8801798234</v>
      </c>
      <c r="CN11" s="57">
        <v>1.0499486443345558</v>
      </c>
      <c r="CO11" s="72">
        <v>113642.09213400001</v>
      </c>
      <c r="CP11" s="72">
        <v>109715.875673975</v>
      </c>
      <c r="CQ11" s="73">
        <v>0.96545103679193578</v>
      </c>
      <c r="CR11" s="72">
        <v>1301374.9271356445</v>
      </c>
      <c r="CS11" s="72">
        <v>1381851.5835391767</v>
      </c>
      <c r="CT11" s="73">
        <v>1.0618397163841655</v>
      </c>
      <c r="CU11" s="72">
        <v>275462.78352941392</v>
      </c>
      <c r="CV11" s="72">
        <v>250516.96420558612</v>
      </c>
      <c r="CW11" s="73">
        <v>0.90944032800291486</v>
      </c>
      <c r="CX11" s="72">
        <v>311202.18914823013</v>
      </c>
      <c r="CY11" s="72">
        <v>287638.2200427904</v>
      </c>
      <c r="CZ11" s="73">
        <v>0.92428083758043278</v>
      </c>
      <c r="DA11" s="72">
        <v>2024784.9515360384</v>
      </c>
      <c r="DB11" s="72">
        <v>2055999.0236979872</v>
      </c>
      <c r="DC11" s="73">
        <v>1.0154159937519633</v>
      </c>
      <c r="DD11" s="72">
        <v>203589.4278642</v>
      </c>
      <c r="DE11" s="72">
        <v>253807.95953195498</v>
      </c>
      <c r="DF11" s="73">
        <v>1.2466657143967819</v>
      </c>
      <c r="DG11" s="72">
        <v>1455933.5158017548</v>
      </c>
      <c r="DH11" s="72">
        <v>1519002.8126926338</v>
      </c>
      <c r="DI11" s="73">
        <v>1.0433188028205724</v>
      </c>
      <c r="DJ11" s="72">
        <v>301358.49851531204</v>
      </c>
      <c r="DK11" s="72">
        <v>282769.55185416329</v>
      </c>
      <c r="DL11" s="73">
        <v>0.9383161691051356</v>
      </c>
      <c r="DM11" s="72">
        <v>360052.70495589555</v>
      </c>
      <c r="DN11" s="72">
        <v>349042.33867397782</v>
      </c>
      <c r="DO11" s="73">
        <v>0.96942012619161844</v>
      </c>
      <c r="DP11" s="72">
        <v>2320934.1471371623</v>
      </c>
      <c r="DQ11" s="72">
        <v>2404622.6627527298</v>
      </c>
      <c r="DR11" s="73">
        <v>1.0360581172536911</v>
      </c>
      <c r="DS11" s="72">
        <v>346241.13936475001</v>
      </c>
      <c r="DT11" s="72">
        <v>419900.53886691498</v>
      </c>
      <c r="DU11" s="73">
        <v>1.2127401718851438</v>
      </c>
      <c r="DV11" s="72">
        <v>1799152.5455297981</v>
      </c>
      <c r="DW11" s="72">
        <v>2344874.2232903219</v>
      </c>
      <c r="DX11" s="73">
        <v>1.3033215160751277</v>
      </c>
      <c r="DY11" s="72">
        <v>332364.13988702785</v>
      </c>
      <c r="DZ11" s="72">
        <v>395550.43969481572</v>
      </c>
      <c r="EA11" s="73">
        <v>1.190111664360858</v>
      </c>
      <c r="EB11" s="72">
        <v>377139.34175845271</v>
      </c>
      <c r="EC11" s="72">
        <v>441628.18085247726</v>
      </c>
      <c r="ED11" s="73">
        <v>1.1709947278195332</v>
      </c>
      <c r="EE11" s="72">
        <v>2854897.166540029</v>
      </c>
      <c r="EF11" s="72">
        <v>3601953.3827045299</v>
      </c>
      <c r="EG11" s="73">
        <v>1.2616753503138924</v>
      </c>
    </row>
    <row r="12" spans="1:137" s="74" customFormat="1" x14ac:dyDescent="0.2">
      <c r="A12" s="60"/>
      <c r="B12" s="28" t="s">
        <v>34</v>
      </c>
      <c r="C12" s="61"/>
      <c r="D12" s="61"/>
      <c r="E12" s="62"/>
      <c r="F12" s="61"/>
      <c r="G12" s="61"/>
      <c r="H12" s="62"/>
      <c r="I12" s="61"/>
      <c r="J12" s="61"/>
      <c r="K12" s="62"/>
      <c r="L12" s="61"/>
      <c r="M12" s="61"/>
      <c r="N12" s="62"/>
      <c r="O12" s="61"/>
      <c r="P12" s="61"/>
      <c r="Q12" s="62"/>
      <c r="R12" s="63"/>
      <c r="S12" s="63"/>
      <c r="T12" s="62"/>
      <c r="U12" s="63"/>
      <c r="V12" s="63"/>
      <c r="W12" s="62"/>
      <c r="X12" s="63"/>
      <c r="Y12" s="63"/>
      <c r="Z12" s="62"/>
      <c r="AA12" s="63"/>
      <c r="AB12" s="63"/>
      <c r="AC12" s="62"/>
      <c r="AD12" s="63"/>
      <c r="AE12" s="63"/>
      <c r="AF12" s="62"/>
      <c r="AG12" s="64"/>
      <c r="AH12" s="64"/>
      <c r="AI12" s="65"/>
      <c r="AJ12" s="64"/>
      <c r="AK12" s="64"/>
      <c r="AL12" s="65"/>
      <c r="AM12" s="64"/>
      <c r="AN12" s="64"/>
      <c r="AO12" s="65"/>
      <c r="AP12" s="66"/>
      <c r="AQ12" s="66"/>
      <c r="AR12" s="65"/>
      <c r="AS12" s="64"/>
      <c r="AT12" s="64"/>
      <c r="AU12" s="67"/>
      <c r="AV12" s="64"/>
      <c r="AW12" s="64"/>
      <c r="AX12" s="68"/>
      <c r="AY12" s="64"/>
      <c r="AZ12" s="64"/>
      <c r="BA12" s="68"/>
      <c r="BB12" s="64"/>
      <c r="BC12" s="64"/>
      <c r="BD12" s="68"/>
      <c r="BE12" s="69"/>
      <c r="BF12" s="69"/>
      <c r="BG12" s="68"/>
      <c r="BH12" s="64"/>
      <c r="BI12" s="64"/>
      <c r="BJ12" s="68"/>
      <c r="BK12" s="70"/>
      <c r="BL12" s="70"/>
      <c r="BM12" s="71"/>
      <c r="BN12" s="70"/>
      <c r="BO12" s="70"/>
      <c r="BP12" s="71"/>
      <c r="BQ12" s="70"/>
      <c r="BR12" s="70"/>
      <c r="BS12" s="71"/>
      <c r="BT12" s="70"/>
      <c r="BU12" s="70"/>
      <c r="BV12" s="71"/>
      <c r="BW12" s="70"/>
      <c r="BX12" s="70"/>
      <c r="BY12" s="71"/>
      <c r="BZ12" s="56"/>
      <c r="CA12" s="56"/>
      <c r="CB12" s="57"/>
      <c r="CC12" s="56"/>
      <c r="CD12" s="56"/>
      <c r="CE12" s="57"/>
      <c r="CF12" s="56"/>
      <c r="CG12" s="56"/>
      <c r="CH12" s="57"/>
      <c r="CI12" s="56"/>
      <c r="CJ12" s="56"/>
      <c r="CK12" s="57"/>
      <c r="CL12" s="56"/>
      <c r="CM12" s="56"/>
      <c r="CN12" s="57"/>
      <c r="CO12" s="72"/>
      <c r="CP12" s="72"/>
      <c r="CQ12" s="73"/>
      <c r="CR12" s="72"/>
      <c r="CS12" s="72"/>
      <c r="CT12" s="73"/>
      <c r="CU12" s="72"/>
      <c r="CV12" s="72"/>
      <c r="CW12" s="73"/>
      <c r="CX12" s="72"/>
      <c r="CY12" s="72"/>
      <c r="CZ12" s="73"/>
      <c r="DA12" s="72"/>
      <c r="DB12" s="72"/>
      <c r="DC12" s="73"/>
      <c r="DD12" s="72"/>
      <c r="DE12" s="72"/>
      <c r="DF12" s="73"/>
      <c r="DG12" s="72"/>
      <c r="DH12" s="72"/>
      <c r="DI12" s="73"/>
      <c r="DJ12" s="72"/>
      <c r="DK12" s="72"/>
      <c r="DL12" s="73"/>
      <c r="DM12" s="72"/>
      <c r="DN12" s="72"/>
      <c r="DO12" s="73"/>
      <c r="DP12" s="72"/>
      <c r="DQ12" s="72"/>
      <c r="DR12" s="73"/>
      <c r="DS12" s="72"/>
      <c r="DT12" s="72"/>
      <c r="DU12" s="73"/>
      <c r="DV12" s="72"/>
      <c r="DW12" s="72"/>
      <c r="DX12" s="73"/>
      <c r="DY12" s="72"/>
      <c r="DZ12" s="72"/>
      <c r="EA12" s="73"/>
      <c r="EB12" s="72"/>
      <c r="EC12" s="72"/>
      <c r="ED12" s="73"/>
      <c r="EE12" s="72"/>
      <c r="EF12" s="72"/>
      <c r="EG12" s="73"/>
    </row>
    <row r="13" spans="1:137" x14ac:dyDescent="0.2">
      <c r="A13" s="75">
        <v>5</v>
      </c>
      <c r="B13" s="75" t="s">
        <v>35</v>
      </c>
      <c r="C13" s="76"/>
      <c r="D13" s="76"/>
      <c r="E13" s="77"/>
      <c r="F13" s="76"/>
      <c r="G13" s="76"/>
      <c r="H13" s="77"/>
      <c r="I13" s="76"/>
      <c r="J13" s="76"/>
      <c r="K13" s="77"/>
      <c r="L13" s="76"/>
      <c r="M13" s="76"/>
      <c r="N13" s="77"/>
      <c r="O13" s="76"/>
      <c r="P13" s="76"/>
      <c r="Q13" s="77"/>
      <c r="R13" s="45"/>
      <c r="S13" s="45"/>
      <c r="T13" s="46"/>
      <c r="U13" s="45"/>
      <c r="V13" s="45"/>
      <c r="W13" s="46"/>
      <c r="X13" s="45"/>
      <c r="Y13" s="45"/>
      <c r="Z13" s="46"/>
      <c r="AA13" s="45"/>
      <c r="AB13" s="45"/>
      <c r="AC13" s="46"/>
      <c r="AD13" s="45"/>
      <c r="AE13" s="45"/>
      <c r="AF13" s="46"/>
      <c r="AG13" s="48"/>
      <c r="AH13" s="48"/>
      <c r="AI13" s="49"/>
      <c r="AJ13" s="48"/>
      <c r="AK13" s="48"/>
      <c r="AL13" s="49"/>
      <c r="AM13" s="48"/>
      <c r="AN13" s="48"/>
      <c r="AO13" s="49"/>
      <c r="AP13" s="50"/>
      <c r="AQ13" s="50"/>
      <c r="AR13" s="78"/>
      <c r="AS13" s="48"/>
      <c r="AT13" s="48"/>
      <c r="AU13" s="79"/>
      <c r="AV13" s="48"/>
      <c r="AW13" s="48"/>
      <c r="AX13" s="52"/>
      <c r="AY13" s="48"/>
      <c r="AZ13" s="48"/>
      <c r="BA13" s="52"/>
      <c r="BB13" s="48"/>
      <c r="BC13" s="48"/>
      <c r="BD13" s="52"/>
      <c r="BE13" s="53"/>
      <c r="BF13" s="53"/>
      <c r="BG13" s="52"/>
      <c r="BH13" s="48"/>
      <c r="BI13" s="48"/>
      <c r="BJ13" s="52"/>
      <c r="BK13" s="80"/>
      <c r="BL13" s="80"/>
      <c r="BM13" s="55" t="s">
        <v>36</v>
      </c>
      <c r="BN13" s="80"/>
      <c r="BO13" s="80"/>
      <c r="BP13" s="55" t="s">
        <v>36</v>
      </c>
      <c r="BQ13" s="80"/>
      <c r="BR13" s="80"/>
      <c r="BS13" s="55" t="s">
        <v>36</v>
      </c>
      <c r="BT13" s="80"/>
      <c r="BU13" s="80"/>
      <c r="BV13" s="55" t="s">
        <v>36</v>
      </c>
      <c r="BW13" s="80"/>
      <c r="BX13" s="80"/>
      <c r="BY13" s="55" t="s">
        <v>36</v>
      </c>
      <c r="BZ13" s="56">
        <v>0</v>
      </c>
      <c r="CA13" s="56">
        <v>0</v>
      </c>
      <c r="CB13" s="57" t="s">
        <v>36</v>
      </c>
      <c r="CC13" s="56">
        <v>189.63717</v>
      </c>
      <c r="CD13" s="56">
        <v>123.26416</v>
      </c>
      <c r="CE13" s="57">
        <v>0.6499999973633861</v>
      </c>
      <c r="CF13" s="56">
        <v>0</v>
      </c>
      <c r="CG13" s="56">
        <v>0</v>
      </c>
      <c r="CH13" s="57" t="s">
        <v>36</v>
      </c>
      <c r="CI13" s="56">
        <v>0</v>
      </c>
      <c r="CJ13" s="56">
        <v>0</v>
      </c>
      <c r="CK13" s="57" t="s">
        <v>36</v>
      </c>
      <c r="CL13" s="56">
        <v>189.63717</v>
      </c>
      <c r="CM13" s="56">
        <v>123.26416</v>
      </c>
      <c r="CN13" s="57">
        <v>0.6499999973633861</v>
      </c>
      <c r="CO13" s="81">
        <v>0</v>
      </c>
      <c r="CP13" s="81">
        <v>0</v>
      </c>
      <c r="CQ13" s="82" t="s">
        <v>36</v>
      </c>
      <c r="CR13" s="81">
        <v>568.39140070745634</v>
      </c>
      <c r="CS13" s="81">
        <v>404.9103030604856</v>
      </c>
      <c r="CT13" s="82">
        <v>0.71237936139869162</v>
      </c>
      <c r="CU13" s="81">
        <v>0</v>
      </c>
      <c r="CV13" s="81">
        <v>0</v>
      </c>
      <c r="CW13" s="82" t="s">
        <v>36</v>
      </c>
      <c r="CX13" s="81">
        <v>0</v>
      </c>
      <c r="CY13" s="81">
        <v>0</v>
      </c>
      <c r="CZ13" s="82" t="s">
        <v>36</v>
      </c>
      <c r="DA13" s="81">
        <v>568.39140070745634</v>
      </c>
      <c r="DB13" s="81">
        <v>404.9103030604856</v>
      </c>
      <c r="DC13" s="82">
        <v>0.71237936139869162</v>
      </c>
      <c r="DD13" s="81">
        <v>0</v>
      </c>
      <c r="DE13" s="81">
        <v>0</v>
      </c>
      <c r="DF13" s="82" t="s">
        <v>36</v>
      </c>
      <c r="DG13" s="81">
        <v>6468.7197800000004</v>
      </c>
      <c r="DH13" s="81">
        <v>6371.8724066177419</v>
      </c>
      <c r="DI13" s="82">
        <v>0.98502835542796408</v>
      </c>
      <c r="DJ13" s="81">
        <v>7.2455025760347107</v>
      </c>
      <c r="DK13" s="81">
        <v>11.935534328761189</v>
      </c>
      <c r="DL13" s="82">
        <v>1.6473024753644101</v>
      </c>
      <c r="DM13" s="81">
        <v>2.5502662127461702</v>
      </c>
      <c r="DN13" s="81">
        <v>4.7041666980535011</v>
      </c>
      <c r="DO13" s="82">
        <v>1.844578685371036</v>
      </c>
      <c r="DP13" s="81">
        <v>6478.5155487887814</v>
      </c>
      <c r="DQ13" s="81">
        <v>6388.5121076445566</v>
      </c>
      <c r="DR13" s="82">
        <v>0.98610739752549459</v>
      </c>
      <c r="DS13" s="81"/>
      <c r="DT13" s="81"/>
      <c r="DU13" s="82" t="s">
        <v>36</v>
      </c>
      <c r="DV13" s="81">
        <v>26359.358051366056</v>
      </c>
      <c r="DW13" s="81">
        <v>29829.210688738727</v>
      </c>
      <c r="DX13" s="82">
        <v>1.1316364621100037</v>
      </c>
      <c r="DY13" s="81">
        <v>3.0149334999999997</v>
      </c>
      <c r="DZ13" s="81">
        <v>0.43960650000000001</v>
      </c>
      <c r="EA13" s="82">
        <v>0.14580968369617442</v>
      </c>
      <c r="EB13" s="81">
        <v>120.05415000000001</v>
      </c>
      <c r="EC13" s="81">
        <v>180.98661749999999</v>
      </c>
      <c r="ED13" s="82">
        <v>1.5075415343826097</v>
      </c>
      <c r="EE13" s="81">
        <v>26482.427134866055</v>
      </c>
      <c r="EF13" s="81">
        <v>30010.636912738726</v>
      </c>
      <c r="EG13" s="82">
        <v>1.1332283389247024</v>
      </c>
    </row>
    <row r="14" spans="1:137" x14ac:dyDescent="0.2">
      <c r="A14" s="83">
        <v>6</v>
      </c>
      <c r="B14" s="83" t="s">
        <v>37</v>
      </c>
      <c r="C14" s="76"/>
      <c r="D14" s="76"/>
      <c r="E14" s="77"/>
      <c r="F14" s="76">
        <v>41097.149619999997</v>
      </c>
      <c r="G14" s="76">
        <v>43627.447059999999</v>
      </c>
      <c r="H14" s="77">
        <v>1.0615686845291243</v>
      </c>
      <c r="I14" s="76">
        <v>21236.338489999998</v>
      </c>
      <c r="J14" s="76">
        <v>12505.57933</v>
      </c>
      <c r="K14" s="77">
        <v>0.58887643629756437</v>
      </c>
      <c r="L14" s="76">
        <v>1237.7355</v>
      </c>
      <c r="M14" s="76">
        <v>729.67092000000002</v>
      </c>
      <c r="N14" s="77">
        <v>0.58952087905695527</v>
      </c>
      <c r="O14" s="76">
        <v>63571.223610000001</v>
      </c>
      <c r="P14" s="76">
        <v>56862.697310000003</v>
      </c>
      <c r="Q14" s="77">
        <v>0.8944722797667729</v>
      </c>
      <c r="R14" s="45"/>
      <c r="S14" s="45"/>
      <c r="T14" s="46"/>
      <c r="U14" s="45">
        <v>31490.489725899974</v>
      </c>
      <c r="V14" s="45">
        <v>30170.417470000011</v>
      </c>
      <c r="W14" s="46">
        <v>0.95808028813174528</v>
      </c>
      <c r="X14" s="45">
        <v>15058.271292600068</v>
      </c>
      <c r="Y14" s="45">
        <v>10241.711450000084</v>
      </c>
      <c r="Z14" s="46">
        <v>0.68013859300257551</v>
      </c>
      <c r="AA14" s="45">
        <v>12001.936153599938</v>
      </c>
      <c r="AB14" s="45">
        <v>6390.7988899999846</v>
      </c>
      <c r="AC14" s="46">
        <v>0.53248066047102638</v>
      </c>
      <c r="AD14" s="45">
        <v>58550.697172099972</v>
      </c>
      <c r="AE14" s="45">
        <v>46802.927810000081</v>
      </c>
      <c r="AF14" s="46">
        <v>0.7993573103396312</v>
      </c>
      <c r="AG14" s="48"/>
      <c r="AH14" s="48"/>
      <c r="AI14" s="49"/>
      <c r="AJ14" s="48">
        <v>32393.644990000001</v>
      </c>
      <c r="AK14" s="48">
        <v>31847.580549999999</v>
      </c>
      <c r="AL14" s="49">
        <v>0.9831428528599182</v>
      </c>
      <c r="AM14" s="48">
        <v>12886.850119999999</v>
      </c>
      <c r="AN14" s="48">
        <v>7876.7635099999998</v>
      </c>
      <c r="AO14" s="49">
        <v>0.61122488712548173</v>
      </c>
      <c r="AP14" s="50">
        <v>17077.977130000003</v>
      </c>
      <c r="AQ14" s="50">
        <v>11584.239839999998</v>
      </c>
      <c r="AR14" s="78">
        <v>0.67831451885777272</v>
      </c>
      <c r="AS14" s="48">
        <v>62358.47224000001</v>
      </c>
      <c r="AT14" s="48">
        <v>51308.583899999998</v>
      </c>
      <c r="AU14" s="79">
        <v>0.82280052825104277</v>
      </c>
      <c r="AV14" s="48">
        <v>1666.1927999999998</v>
      </c>
      <c r="AW14" s="48">
        <v>1607.3072099999999</v>
      </c>
      <c r="AX14" s="52">
        <v>0.96465859773250739</v>
      </c>
      <c r="AY14" s="48">
        <v>42280.604149999999</v>
      </c>
      <c r="AZ14" s="48">
        <v>43960.905290000002</v>
      </c>
      <c r="BA14" s="52">
        <v>1.0397416539753963</v>
      </c>
      <c r="BB14" s="48">
        <v>15311.82224</v>
      </c>
      <c r="BC14" s="48">
        <v>10580.51892</v>
      </c>
      <c r="BD14" s="52">
        <v>0.69100324926447165</v>
      </c>
      <c r="BE14" s="53">
        <v>19715.99584</v>
      </c>
      <c r="BF14" s="53">
        <v>13671.185240000001</v>
      </c>
      <c r="BG14" s="52">
        <v>0.69340576813593002</v>
      </c>
      <c r="BH14" s="48">
        <v>78974.615030000001</v>
      </c>
      <c r="BI14" s="48">
        <v>69819.916660000003</v>
      </c>
      <c r="BJ14" s="52">
        <v>0.884080493883732</v>
      </c>
      <c r="BK14" s="80">
        <v>3178.6197700000002</v>
      </c>
      <c r="BL14" s="80">
        <v>4071.66588</v>
      </c>
      <c r="BM14" s="55">
        <v>1.2809540538407964</v>
      </c>
      <c r="BN14" s="80">
        <v>61398.890149999999</v>
      </c>
      <c r="BO14" s="80">
        <v>61156.416149999997</v>
      </c>
      <c r="BP14" s="55">
        <v>0.99605084066816796</v>
      </c>
      <c r="BQ14" s="80">
        <v>20205.41964</v>
      </c>
      <c r="BR14" s="80">
        <v>13191.46414</v>
      </c>
      <c r="BS14" s="55">
        <v>0.65286761547309291</v>
      </c>
      <c r="BT14" s="80">
        <v>22134.032019999999</v>
      </c>
      <c r="BU14" s="80">
        <v>14671.41264</v>
      </c>
      <c r="BV14" s="55">
        <v>0.66284410480400136</v>
      </c>
      <c r="BW14" s="80">
        <v>106916.96157999999</v>
      </c>
      <c r="BX14" s="80">
        <v>93090.958809999996</v>
      </c>
      <c r="BY14" s="55">
        <v>0.87068466438176162</v>
      </c>
      <c r="BZ14" s="56">
        <v>5922.3139354999994</v>
      </c>
      <c r="CA14" s="56">
        <v>4458.9494162000001</v>
      </c>
      <c r="CB14" s="57">
        <v>0.75290662817987664</v>
      </c>
      <c r="CC14" s="56">
        <v>100878.62001379963</v>
      </c>
      <c r="CD14" s="56">
        <v>103106.52906965002</v>
      </c>
      <c r="CE14" s="57">
        <v>1.0220850469162406</v>
      </c>
      <c r="CF14" s="56">
        <v>45353.935310599707</v>
      </c>
      <c r="CG14" s="56">
        <v>32047.626957629862</v>
      </c>
      <c r="CH14" s="57">
        <v>0.70661182404914669</v>
      </c>
      <c r="CI14" s="56">
        <v>7144.9045609000268</v>
      </c>
      <c r="CJ14" s="56">
        <v>3454.4481770000048</v>
      </c>
      <c r="CK14" s="57">
        <v>0.48348415959314872</v>
      </c>
      <c r="CL14" s="56">
        <v>159299.77382079937</v>
      </c>
      <c r="CM14" s="56">
        <v>143067.55362047988</v>
      </c>
      <c r="CN14" s="57">
        <v>0.89810267892420526</v>
      </c>
      <c r="CO14" s="81">
        <v>4012.9783081999999</v>
      </c>
      <c r="CP14" s="81">
        <v>3292.4697847000007</v>
      </c>
      <c r="CQ14" s="82">
        <v>0.82045541536376265</v>
      </c>
      <c r="CR14" s="81">
        <v>107580.39072720015</v>
      </c>
      <c r="CS14" s="81">
        <v>102248.15494879993</v>
      </c>
      <c r="CT14" s="82">
        <v>0.95043487254176662</v>
      </c>
      <c r="CU14" s="81">
        <v>51589.26446930012</v>
      </c>
      <c r="CV14" s="81">
        <v>38019.74890199989</v>
      </c>
      <c r="CW14" s="82">
        <v>0.73697016798184412</v>
      </c>
      <c r="CX14" s="81">
        <v>8905.7735994000595</v>
      </c>
      <c r="CY14" s="81">
        <v>3202.4514070000018</v>
      </c>
      <c r="CZ14" s="82">
        <v>0.35959272614068427</v>
      </c>
      <c r="DA14" s="81">
        <v>172088.40710410033</v>
      </c>
      <c r="DB14" s="81">
        <v>146762.82504249984</v>
      </c>
      <c r="DC14" s="82">
        <v>0.85283388644372515</v>
      </c>
      <c r="DD14" s="81">
        <v>1909.7545559999999</v>
      </c>
      <c r="DE14" s="81">
        <v>2979.4200785000003</v>
      </c>
      <c r="DF14" s="82">
        <v>1.5601062812702098</v>
      </c>
      <c r="DG14" s="81">
        <v>88095.574031800119</v>
      </c>
      <c r="DH14" s="81">
        <v>67433.072313900004</v>
      </c>
      <c r="DI14" s="82">
        <v>0.7654535776060496</v>
      </c>
      <c r="DJ14" s="81">
        <v>57405.156891799918</v>
      </c>
      <c r="DK14" s="81">
        <v>46770.64115080014</v>
      </c>
      <c r="DL14" s="82">
        <v>0.81474633435730803</v>
      </c>
      <c r="DM14" s="81">
        <v>12954.903505500079</v>
      </c>
      <c r="DN14" s="81">
        <v>6350.9916909999911</v>
      </c>
      <c r="DO14" s="82">
        <v>0.49023844047187548</v>
      </c>
      <c r="DP14" s="81">
        <v>160365.38898510011</v>
      </c>
      <c r="DQ14" s="81">
        <v>123534.12523420014</v>
      </c>
      <c r="DR14" s="82">
        <v>0.77032909667108995</v>
      </c>
      <c r="DS14" s="81">
        <v>24391.6774296</v>
      </c>
      <c r="DT14" s="81">
        <v>25053.202654000001</v>
      </c>
      <c r="DU14" s="82">
        <v>1.0271209401776207</v>
      </c>
      <c r="DV14" s="81">
        <v>91267.803285368922</v>
      </c>
      <c r="DW14" s="81">
        <v>94269.641717099556</v>
      </c>
      <c r="DX14" s="82">
        <v>1.032890442452578</v>
      </c>
      <c r="DY14" s="81">
        <v>49318.129370500508</v>
      </c>
      <c r="DZ14" s="81">
        <v>54606.304537699645</v>
      </c>
      <c r="EA14" s="82">
        <v>1.1072257856228067</v>
      </c>
      <c r="EB14" s="81">
        <v>27329.193167000227</v>
      </c>
      <c r="EC14" s="81">
        <v>19988.290371499948</v>
      </c>
      <c r="ED14" s="82">
        <v>0.73138969926253228</v>
      </c>
      <c r="EE14" s="81">
        <v>192306.80325246966</v>
      </c>
      <c r="EF14" s="81">
        <v>193917.43928029915</v>
      </c>
      <c r="EG14" s="82">
        <v>1.0083753460646683</v>
      </c>
    </row>
    <row r="15" spans="1:137" x14ac:dyDescent="0.2">
      <c r="A15" s="75">
        <v>7</v>
      </c>
      <c r="B15" s="83" t="s">
        <v>38</v>
      </c>
      <c r="C15" s="76"/>
      <c r="D15" s="76"/>
      <c r="E15" s="77"/>
      <c r="F15" s="76">
        <v>16554.962809099648</v>
      </c>
      <c r="G15" s="76">
        <v>13889.852731282221</v>
      </c>
      <c r="H15" s="77">
        <v>0.83901443279881516</v>
      </c>
      <c r="I15" s="76">
        <v>814.14055229998519</v>
      </c>
      <c r="J15" s="76">
        <v>311.56295633122204</v>
      </c>
      <c r="K15" s="77">
        <v>0.38268939613810182</v>
      </c>
      <c r="L15" s="76"/>
      <c r="M15" s="76"/>
      <c r="N15" s="77"/>
      <c r="O15" s="76">
        <v>17369.103361399633</v>
      </c>
      <c r="P15" s="76">
        <v>14201.415687613442</v>
      </c>
      <c r="Q15" s="77">
        <v>0.81762514691311428</v>
      </c>
      <c r="R15" s="45"/>
      <c r="S15" s="45"/>
      <c r="T15" s="46"/>
      <c r="U15" s="45">
        <v>16096.158791705959</v>
      </c>
      <c r="V15" s="45">
        <v>17157.991697700993</v>
      </c>
      <c r="W15" s="46">
        <v>1.0659680933653672</v>
      </c>
      <c r="X15" s="45">
        <v>1137.5358660258728</v>
      </c>
      <c r="Y15" s="45">
        <v>321.02063939999999</v>
      </c>
      <c r="Z15" s="46">
        <v>0.28220704857555545</v>
      </c>
      <c r="AA15" s="45"/>
      <c r="AB15" s="45"/>
      <c r="AC15" s="46"/>
      <c r="AD15" s="45">
        <v>17233.69465773183</v>
      </c>
      <c r="AE15" s="45">
        <v>17479.012337100994</v>
      </c>
      <c r="AF15" s="46">
        <v>1.0142347699806264</v>
      </c>
      <c r="AG15" s="48"/>
      <c r="AH15" s="48"/>
      <c r="AI15" s="49"/>
      <c r="AJ15" s="48">
        <v>7413.1496677378345</v>
      </c>
      <c r="AK15" s="48">
        <v>7016.0162044171557</v>
      </c>
      <c r="AL15" s="49">
        <v>0.9464285113453178</v>
      </c>
      <c r="AM15" s="48"/>
      <c r="AN15" s="48"/>
      <c r="AO15" s="49"/>
      <c r="AP15" s="50">
        <v>868.08296216915119</v>
      </c>
      <c r="AQ15" s="50">
        <v>673.78949829444321</v>
      </c>
      <c r="AR15" s="78">
        <v>0.77618099612367608</v>
      </c>
      <c r="AS15" s="48">
        <v>8281.2326299069864</v>
      </c>
      <c r="AT15" s="48">
        <v>7689.8057027115992</v>
      </c>
      <c r="AU15" s="79">
        <v>0.92858225899131275</v>
      </c>
      <c r="AV15" s="48"/>
      <c r="AW15" s="48"/>
      <c r="AX15" s="52"/>
      <c r="AY15" s="48">
        <v>5920.4895393902007</v>
      </c>
      <c r="AZ15" s="48">
        <v>4684.4360762581182</v>
      </c>
      <c r="BA15" s="52">
        <v>0.79122444944655812</v>
      </c>
      <c r="BB15" s="48">
        <v>494.39165991066886</v>
      </c>
      <c r="BC15" s="48">
        <v>361.40230651869456</v>
      </c>
      <c r="BD15" s="52">
        <v>0.73100405169455318</v>
      </c>
      <c r="BE15" s="53">
        <v>393.67431199186126</v>
      </c>
      <c r="BF15" s="53">
        <v>309.26837268130544</v>
      </c>
      <c r="BG15" s="52">
        <v>0.78559449590833141</v>
      </c>
      <c r="BH15" s="48">
        <v>6808.5555112927304</v>
      </c>
      <c r="BI15" s="48">
        <v>5355.1067554581186</v>
      </c>
      <c r="BJ15" s="52">
        <v>0.78652612093359464</v>
      </c>
      <c r="BK15" s="84"/>
      <c r="BL15" s="84"/>
      <c r="BM15" s="55" t="s">
        <v>36</v>
      </c>
      <c r="BN15" s="84">
        <v>6126.2707648946025</v>
      </c>
      <c r="BO15" s="84">
        <v>6542.5197240160314</v>
      </c>
      <c r="BP15" s="55">
        <v>1.0679449170785369</v>
      </c>
      <c r="BQ15" s="84">
        <v>525.52173455846014</v>
      </c>
      <c r="BR15" s="84">
        <v>331.95593575343889</v>
      </c>
      <c r="BS15" s="55">
        <v>0.63166928011520984</v>
      </c>
      <c r="BT15" s="84">
        <v>295.07330824566924</v>
      </c>
      <c r="BU15" s="84">
        <v>295.91116974656109</v>
      </c>
      <c r="BV15" s="55">
        <v>1.0028395028539629</v>
      </c>
      <c r="BW15" s="84">
        <v>6946.8658076987313</v>
      </c>
      <c r="BX15" s="84">
        <v>7170.3868295160319</v>
      </c>
      <c r="BY15" s="55">
        <v>1.0321758081996615</v>
      </c>
      <c r="BZ15" s="56">
        <v>0</v>
      </c>
      <c r="CA15" s="56">
        <v>0</v>
      </c>
      <c r="CB15" s="57" t="s">
        <v>36</v>
      </c>
      <c r="CC15" s="56">
        <v>12850.047661435401</v>
      </c>
      <c r="CD15" s="56">
        <v>12339.225759333358</v>
      </c>
      <c r="CE15" s="57">
        <v>0.96024747023817791</v>
      </c>
      <c r="CF15" s="56">
        <v>879.93858585699979</v>
      </c>
      <c r="CG15" s="56">
        <v>771.3448995</v>
      </c>
      <c r="CH15" s="57">
        <v>0.87658947101264229</v>
      </c>
      <c r="CI15" s="56">
        <v>0</v>
      </c>
      <c r="CJ15" s="56">
        <v>0</v>
      </c>
      <c r="CK15" s="57" t="s">
        <v>36</v>
      </c>
      <c r="CL15" s="56">
        <v>13729.986247292401</v>
      </c>
      <c r="CM15" s="56">
        <v>13110.570658833358</v>
      </c>
      <c r="CN15" s="57">
        <v>0.95488592797525962</v>
      </c>
      <c r="CO15" s="85">
        <v>0</v>
      </c>
      <c r="CP15" s="85">
        <v>0</v>
      </c>
      <c r="CQ15" s="86" t="s">
        <v>36</v>
      </c>
      <c r="CR15" s="85">
        <v>17110.621070000001</v>
      </c>
      <c r="CS15" s="85">
        <v>15695.33006</v>
      </c>
      <c r="CT15" s="86">
        <v>0.9172858188951758</v>
      </c>
      <c r="CU15" s="85">
        <v>1268.8903399999999</v>
      </c>
      <c r="CV15" s="85">
        <v>846.77151000000003</v>
      </c>
      <c r="CW15" s="86">
        <v>0.66733230075658079</v>
      </c>
      <c r="CX15" s="85">
        <v>0</v>
      </c>
      <c r="CY15" s="85">
        <v>0</v>
      </c>
      <c r="CZ15" s="86" t="s">
        <v>36</v>
      </c>
      <c r="DA15" s="85">
        <v>18379.511409999999</v>
      </c>
      <c r="DB15" s="85">
        <v>16542.101569999999</v>
      </c>
      <c r="DC15" s="86">
        <v>0.90002945132696532</v>
      </c>
      <c r="DD15" s="85">
        <v>0</v>
      </c>
      <c r="DE15" s="85">
        <v>0</v>
      </c>
      <c r="DF15" s="86" t="s">
        <v>36</v>
      </c>
      <c r="DG15" s="85">
        <v>25098.560796149115</v>
      </c>
      <c r="DH15" s="85">
        <v>18832.223436963275</v>
      </c>
      <c r="DI15" s="86">
        <v>0.75033080940054186</v>
      </c>
      <c r="DJ15" s="85">
        <v>1673.1016656944525</v>
      </c>
      <c r="DK15" s="85">
        <v>1002.1127215045135</v>
      </c>
      <c r="DL15" s="86">
        <v>0.59895506773556861</v>
      </c>
      <c r="DM15" s="85">
        <v>0</v>
      </c>
      <c r="DN15" s="85">
        <v>0</v>
      </c>
      <c r="DO15" s="86" t="s">
        <v>36</v>
      </c>
      <c r="DP15" s="85">
        <v>26771.662461843567</v>
      </c>
      <c r="DQ15" s="85">
        <v>19834.336158467788</v>
      </c>
      <c r="DR15" s="86">
        <v>0.74087054499274241</v>
      </c>
      <c r="DS15" s="85"/>
      <c r="DT15" s="85"/>
      <c r="DU15" s="86" t="s">
        <v>36</v>
      </c>
      <c r="DV15" s="85"/>
      <c r="DW15" s="85"/>
      <c r="DX15" s="86" t="s">
        <v>36</v>
      </c>
      <c r="DY15" s="85"/>
      <c r="DZ15" s="85"/>
      <c r="EA15" s="86" t="s">
        <v>36</v>
      </c>
      <c r="EB15" s="85"/>
      <c r="EC15" s="85"/>
      <c r="ED15" s="86" t="s">
        <v>36</v>
      </c>
      <c r="EE15" s="85">
        <v>0</v>
      </c>
      <c r="EF15" s="85">
        <v>0</v>
      </c>
      <c r="EG15" s="86" t="s">
        <v>36</v>
      </c>
    </row>
    <row r="16" spans="1:137" x14ac:dyDescent="0.2">
      <c r="A16" s="83">
        <v>8</v>
      </c>
      <c r="B16" s="83" t="s">
        <v>39</v>
      </c>
      <c r="C16" s="76">
        <v>12254.546440402317</v>
      </c>
      <c r="D16" s="76">
        <v>7988.8518333429338</v>
      </c>
      <c r="E16" s="77">
        <v>0.65190922178925292</v>
      </c>
      <c r="F16" s="76">
        <v>5549.7944026092082</v>
      </c>
      <c r="G16" s="76">
        <v>3186.4112689181452</v>
      </c>
      <c r="H16" s="77">
        <v>0.57414942568324145</v>
      </c>
      <c r="I16" s="76">
        <v>2410.6931351690209</v>
      </c>
      <c r="J16" s="76">
        <v>259.21332419866309</v>
      </c>
      <c r="K16" s="77">
        <v>0.10752647046488929</v>
      </c>
      <c r="L16" s="76">
        <v>786.75940562702999</v>
      </c>
      <c r="M16" s="76">
        <v>1521.5235735402566</v>
      </c>
      <c r="N16" s="77">
        <v>1.9339121498365002</v>
      </c>
      <c r="O16" s="76">
        <v>21001.793383807577</v>
      </c>
      <c r="P16" s="76">
        <v>12956</v>
      </c>
      <c r="Q16" s="77">
        <v>0.61689969819382662</v>
      </c>
      <c r="R16" s="45">
        <v>3818.0663548285602</v>
      </c>
      <c r="S16" s="45">
        <v>2198.6353067584923</v>
      </c>
      <c r="T16" s="46">
        <v>0.57585047048173055</v>
      </c>
      <c r="U16" s="45">
        <v>8438.4912341310992</v>
      </c>
      <c r="V16" s="45">
        <v>4463.5862114934116</v>
      </c>
      <c r="W16" s="46">
        <v>0.52895548358687383</v>
      </c>
      <c r="X16" s="45">
        <v>1825.7864793513602</v>
      </c>
      <c r="Y16" s="45">
        <v>1551.3026035382063</v>
      </c>
      <c r="Z16" s="46">
        <v>0.8496626637794642</v>
      </c>
      <c r="AA16" s="45">
        <v>1036.2962387709999</v>
      </c>
      <c r="AB16" s="45">
        <v>115.91474293411676</v>
      </c>
      <c r="AC16" s="46">
        <v>0.11185483320057821</v>
      </c>
      <c r="AD16" s="45">
        <v>15118.640307082018</v>
      </c>
      <c r="AE16" s="45">
        <v>8329.4388647242267</v>
      </c>
      <c r="AF16" s="46">
        <v>0.55093835791717805</v>
      </c>
      <c r="AG16" s="48">
        <v>1302.058065205993</v>
      </c>
      <c r="AH16" s="48">
        <v>508.09820459722692</v>
      </c>
      <c r="AI16" s="49">
        <v>0.39022699384519605</v>
      </c>
      <c r="AJ16" s="48">
        <v>11642.462011774041</v>
      </c>
      <c r="AK16" s="48">
        <v>4730.8577142898139</v>
      </c>
      <c r="AL16" s="49">
        <v>0.4063451278179383</v>
      </c>
      <c r="AM16" s="48">
        <v>2276.9763490396185</v>
      </c>
      <c r="AN16" s="48">
        <v>1906.5958684583888</v>
      </c>
      <c r="AO16" s="49">
        <v>0.83733670279998806</v>
      </c>
      <c r="AP16" s="50">
        <v>1063.4867026694717</v>
      </c>
      <c r="AQ16" s="50">
        <v>25.764582674931823</v>
      </c>
      <c r="AR16" s="49">
        <v>2.4226520755040764E-2</v>
      </c>
      <c r="AS16" s="48">
        <v>16284.983128689124</v>
      </c>
      <c r="AT16" s="48">
        <v>7171.3163700203622</v>
      </c>
      <c r="AU16" s="51">
        <v>0.44036375803096239</v>
      </c>
      <c r="AV16" s="87">
        <v>0</v>
      </c>
      <c r="AW16" s="87">
        <v>-0.53052872299515419</v>
      </c>
      <c r="AX16" s="52">
        <v>0</v>
      </c>
      <c r="AY16" s="48">
        <v>15073.88737</v>
      </c>
      <c r="AZ16" s="48">
        <v>4627.4825744588597</v>
      </c>
      <c r="BA16" s="52">
        <v>0.30698667575747313</v>
      </c>
      <c r="BB16" s="48">
        <v>2112.0563288609305</v>
      </c>
      <c r="BC16" s="48">
        <v>1245.2909726381597</v>
      </c>
      <c r="BD16" s="52">
        <v>0.58961068207388545</v>
      </c>
      <c r="BE16" s="53">
        <v>1252.4025611390693</v>
      </c>
      <c r="BF16" s="53">
        <v>931.10478944261524</v>
      </c>
      <c r="BG16" s="52">
        <v>0.74345487492118234</v>
      </c>
      <c r="BH16" s="48">
        <v>18438.346259999998</v>
      </c>
      <c r="BI16" s="48">
        <v>6803.3478078166399</v>
      </c>
      <c r="BJ16" s="52">
        <v>0.36897819966510598</v>
      </c>
      <c r="BK16" s="54"/>
      <c r="BL16" s="54">
        <v>24.370925536212717</v>
      </c>
      <c r="BM16" s="55" t="s">
        <v>36</v>
      </c>
      <c r="BN16" s="54">
        <v>18481.294272742467</v>
      </c>
      <c r="BO16" s="54">
        <v>5523.8176466205232</v>
      </c>
      <c r="BP16" s="55">
        <v>0.29888694834362572</v>
      </c>
      <c r="BQ16" s="54">
        <v>1784.6111976792479</v>
      </c>
      <c r="BR16" s="54">
        <v>1608.25876129119</v>
      </c>
      <c r="BS16" s="55">
        <v>0.90118159259709296</v>
      </c>
      <c r="BT16" s="54">
        <v>976.48742197834156</v>
      </c>
      <c r="BU16" s="54">
        <v>1086.7772840124021</v>
      </c>
      <c r="BV16" s="55">
        <v>1.1129455019611167</v>
      </c>
      <c r="BW16" s="54">
        <v>21242.392892400057</v>
      </c>
      <c r="BX16" s="54">
        <v>8243.2246174603279</v>
      </c>
      <c r="BY16" s="55">
        <v>0.38805536924277145</v>
      </c>
      <c r="BZ16" s="56">
        <v>0</v>
      </c>
      <c r="CA16" s="56">
        <v>0.32767042764713855</v>
      </c>
      <c r="CB16" s="57" t="s">
        <v>36</v>
      </c>
      <c r="CC16" s="56">
        <v>20421.376972910155</v>
      </c>
      <c r="CD16" s="56">
        <v>6279.7908249823486</v>
      </c>
      <c r="CE16" s="57">
        <v>0.3075106459918332</v>
      </c>
      <c r="CF16" s="56">
        <v>1790.7660519939793</v>
      </c>
      <c r="CG16" s="56">
        <v>1866.3628813802352</v>
      </c>
      <c r="CH16" s="57">
        <v>1.0422147992486681</v>
      </c>
      <c r="CI16" s="56">
        <v>960.43038569580187</v>
      </c>
      <c r="CJ16" s="56">
        <v>985.36129877976475</v>
      </c>
      <c r="CK16" s="57">
        <v>1.0259580636507051</v>
      </c>
      <c r="CL16" s="56">
        <v>23172.573410599936</v>
      </c>
      <c r="CM16" s="56">
        <v>9131.8426755699948</v>
      </c>
      <c r="CN16" s="57">
        <v>0.39407978189391663</v>
      </c>
      <c r="CO16" s="58">
        <v>0</v>
      </c>
      <c r="CP16" s="58">
        <v>0</v>
      </c>
      <c r="CQ16" s="59" t="s">
        <v>36</v>
      </c>
      <c r="CR16" s="58">
        <v>24103.15214564477</v>
      </c>
      <c r="CS16" s="58">
        <v>9968.268055319897</v>
      </c>
      <c r="CT16" s="59">
        <v>0.41356698887705756</v>
      </c>
      <c r="CU16" s="58">
        <v>1749.3828108925688</v>
      </c>
      <c r="CV16" s="58">
        <v>1714.9426304055301</v>
      </c>
      <c r="CW16" s="59">
        <v>0.98031295364708271</v>
      </c>
      <c r="CX16" s="58">
        <v>1316.8069344091825</v>
      </c>
      <c r="CY16" s="58">
        <v>906.20405375460041</v>
      </c>
      <c r="CZ16" s="59">
        <v>0.68818292953567328</v>
      </c>
      <c r="DA16" s="58">
        <v>27169.341890946522</v>
      </c>
      <c r="DB16" s="58">
        <v>12589.414739480027</v>
      </c>
      <c r="DC16" s="59">
        <v>0.46336840951142522</v>
      </c>
      <c r="DD16" s="58">
        <v>-1361.0675555</v>
      </c>
      <c r="DE16" s="58">
        <v>218.686034499969</v>
      </c>
      <c r="DF16" s="59">
        <v>-0.16067243217742619</v>
      </c>
      <c r="DG16" s="58">
        <v>25626.831167433396</v>
      </c>
      <c r="DH16" s="58">
        <v>26325.421094871002</v>
      </c>
      <c r="DI16" s="59">
        <v>1.027260097936938</v>
      </c>
      <c r="DJ16" s="58">
        <v>2501.471007420992</v>
      </c>
      <c r="DK16" s="58">
        <v>1872.6048937011296</v>
      </c>
      <c r="DL16" s="59">
        <v>0.74860147814856304</v>
      </c>
      <c r="DM16" s="58">
        <v>2001.3229198201823</v>
      </c>
      <c r="DN16" s="58">
        <v>2912.48404737787</v>
      </c>
      <c r="DO16" s="59">
        <v>1.4552794146981312</v>
      </c>
      <c r="DP16" s="58">
        <v>28768.557539174566</v>
      </c>
      <c r="DQ16" s="58">
        <v>31329.196070449972</v>
      </c>
      <c r="DR16" s="59">
        <v>1.0890082350423218</v>
      </c>
      <c r="DS16" s="58">
        <v>-369.78750000000002</v>
      </c>
      <c r="DT16" s="58">
        <v>0</v>
      </c>
      <c r="DU16" s="59">
        <v>0</v>
      </c>
      <c r="DV16" s="58">
        <v>24437.362670549788</v>
      </c>
      <c r="DW16" s="58">
        <v>44092.422540581007</v>
      </c>
      <c r="DX16" s="59">
        <v>1.8043036449967709</v>
      </c>
      <c r="DY16" s="58">
        <v>4387.8687176293133</v>
      </c>
      <c r="DZ16" s="58">
        <v>2305.287045767066</v>
      </c>
      <c r="EA16" s="59">
        <v>0.52537739711879328</v>
      </c>
      <c r="EB16" s="58">
        <v>1907.6105802706843</v>
      </c>
      <c r="EC16" s="58">
        <v>6178.150621161898</v>
      </c>
      <c r="ED16" s="59">
        <v>3.2386854450583078</v>
      </c>
      <c r="EE16" s="58">
        <v>30363.054468449787</v>
      </c>
      <c r="EF16" s="58">
        <v>52575.86020750997</v>
      </c>
      <c r="EG16" s="59">
        <v>1.7315734904780902</v>
      </c>
    </row>
    <row r="17" spans="1:137" x14ac:dyDescent="0.2">
      <c r="A17" s="75">
        <v>9</v>
      </c>
      <c r="B17" s="83" t="s">
        <v>40</v>
      </c>
      <c r="C17" s="76"/>
      <c r="D17" s="76"/>
      <c r="E17" s="77"/>
      <c r="F17" s="76"/>
      <c r="G17" s="76"/>
      <c r="H17" s="77"/>
      <c r="I17" s="76"/>
      <c r="J17" s="76"/>
      <c r="K17" s="77"/>
      <c r="L17" s="76"/>
      <c r="M17" s="76"/>
      <c r="N17" s="77"/>
      <c r="O17" s="76"/>
      <c r="P17" s="76"/>
      <c r="Q17" s="77"/>
      <c r="R17" s="45"/>
      <c r="S17" s="45"/>
      <c r="T17" s="46"/>
      <c r="U17" s="45"/>
      <c r="V17" s="45"/>
      <c r="W17" s="46"/>
      <c r="X17" s="45"/>
      <c r="Y17" s="45"/>
      <c r="Z17" s="46"/>
      <c r="AA17" s="45"/>
      <c r="AB17" s="45"/>
      <c r="AC17" s="46"/>
      <c r="AD17" s="45"/>
      <c r="AE17" s="45"/>
      <c r="AF17" s="46"/>
      <c r="AG17" s="48"/>
      <c r="AH17" s="48"/>
      <c r="AI17" s="49"/>
      <c r="AJ17" s="48"/>
      <c r="AK17" s="48"/>
      <c r="AL17" s="49"/>
      <c r="AM17" s="48"/>
      <c r="AN17" s="48"/>
      <c r="AO17" s="49"/>
      <c r="AP17" s="50"/>
      <c r="AQ17" s="50"/>
      <c r="AR17" s="49"/>
      <c r="AS17" s="48"/>
      <c r="AT17" s="48"/>
      <c r="AU17" s="51"/>
      <c r="AV17" s="87"/>
      <c r="AW17" s="87"/>
      <c r="AX17" s="52"/>
      <c r="AY17" s="48"/>
      <c r="AZ17" s="48"/>
      <c r="BA17" s="52"/>
      <c r="BB17" s="48"/>
      <c r="BC17" s="48"/>
      <c r="BD17" s="52"/>
      <c r="BE17" s="53"/>
      <c r="BF17" s="53"/>
      <c r="BG17" s="52"/>
      <c r="BH17" s="48"/>
      <c r="BI17" s="48"/>
      <c r="BJ17" s="52"/>
      <c r="BK17" s="54"/>
      <c r="BL17" s="54"/>
      <c r="BM17" s="55" t="s">
        <v>36</v>
      </c>
      <c r="BN17" s="88">
        <v>0.27312500000000001</v>
      </c>
      <c r="BO17" s="88">
        <v>0.19120000000000001</v>
      </c>
      <c r="BP17" s="55">
        <v>0.70004576659038908</v>
      </c>
      <c r="BQ17" s="54"/>
      <c r="BR17" s="54"/>
      <c r="BS17" s="55" t="s">
        <v>36</v>
      </c>
      <c r="BT17" s="54"/>
      <c r="BU17" s="54"/>
      <c r="BV17" s="55" t="s">
        <v>36</v>
      </c>
      <c r="BW17" s="88">
        <v>0.27312500000000001</v>
      </c>
      <c r="BX17" s="88">
        <v>0.19120000000000001</v>
      </c>
      <c r="BY17" s="55">
        <v>0.70004576659038908</v>
      </c>
      <c r="BZ17" s="56">
        <v>0</v>
      </c>
      <c r="CA17" s="56">
        <v>0</v>
      </c>
      <c r="CB17" s="57" t="s">
        <v>36</v>
      </c>
      <c r="CC17" s="56">
        <v>54.678920499999997</v>
      </c>
      <c r="CD17" s="56">
        <v>38.275244399999998</v>
      </c>
      <c r="CE17" s="57">
        <v>0.70000000091442915</v>
      </c>
      <c r="CF17" s="56">
        <v>20.19367974139659</v>
      </c>
      <c r="CG17" s="56">
        <v>14.135575758500002</v>
      </c>
      <c r="CH17" s="57">
        <v>0.69999999700512183</v>
      </c>
      <c r="CI17" s="56">
        <v>14.007650258603411</v>
      </c>
      <c r="CJ17" s="56">
        <v>9.8053551810223869</v>
      </c>
      <c r="CK17" s="57">
        <v>0.7</v>
      </c>
      <c r="CL17" s="56">
        <v>88.880250499999988</v>
      </c>
      <c r="CM17" s="56">
        <v>62.216175339522387</v>
      </c>
      <c r="CN17" s="57">
        <v>0.69999999988211548</v>
      </c>
      <c r="CO17" s="58">
        <v>0</v>
      </c>
      <c r="CP17" s="58">
        <v>0</v>
      </c>
      <c r="CQ17" s="59"/>
      <c r="CR17" s="58">
        <v>1694.4485745424672</v>
      </c>
      <c r="CS17" s="58">
        <v>1794.084827826714</v>
      </c>
      <c r="CT17" s="59">
        <v>1.0588015799246964</v>
      </c>
      <c r="CU17" s="58">
        <v>105.21874329999999</v>
      </c>
      <c r="CV17" s="58">
        <v>74.006683699999996</v>
      </c>
      <c r="CW17" s="59">
        <v>0.70336027003280133</v>
      </c>
      <c r="CX17" s="58">
        <v>85.007846400000005</v>
      </c>
      <c r="CY17" s="58">
        <v>59.7659558</v>
      </c>
      <c r="CZ17" s="59">
        <v>0.70306399151408216</v>
      </c>
      <c r="DA17" s="58">
        <v>1884.6751642424672</v>
      </c>
      <c r="DB17" s="58">
        <v>1927.857467326714</v>
      </c>
      <c r="DC17" s="59">
        <v>1.0229123320047588</v>
      </c>
      <c r="DD17" s="58">
        <v>0</v>
      </c>
      <c r="DE17" s="58">
        <v>0</v>
      </c>
      <c r="DF17" s="59" t="s">
        <v>36</v>
      </c>
      <c r="DG17" s="58">
        <v>3684.1291538808264</v>
      </c>
      <c r="DH17" s="58">
        <v>3126.6643344955983</v>
      </c>
      <c r="DI17" s="59">
        <v>0.84868477838297285</v>
      </c>
      <c r="DJ17" s="58">
        <v>492.7193510832023</v>
      </c>
      <c r="DK17" s="58">
        <v>393.27103687499999</v>
      </c>
      <c r="DL17" s="59">
        <v>0.79816438305178494</v>
      </c>
      <c r="DM17" s="58">
        <v>573.1171403167973</v>
      </c>
      <c r="DN17" s="58">
        <v>929.05037200000004</v>
      </c>
      <c r="DO17" s="59">
        <v>1.6210479614803641</v>
      </c>
      <c r="DP17" s="58">
        <v>4749.9656452808258</v>
      </c>
      <c r="DQ17" s="58">
        <v>4448.9857433705984</v>
      </c>
      <c r="DR17" s="59">
        <v>0.93663535183475355</v>
      </c>
      <c r="DS17" s="58"/>
      <c r="DT17" s="58"/>
      <c r="DU17" s="59" t="s">
        <v>36</v>
      </c>
      <c r="DV17" s="58">
        <v>6321.8390011898528</v>
      </c>
      <c r="DW17" s="58">
        <v>6790.9966942439178</v>
      </c>
      <c r="DX17" s="59">
        <v>1.0742122178318307</v>
      </c>
      <c r="DY17" s="58">
        <v>579.02356946907094</v>
      </c>
      <c r="DZ17" s="58">
        <v>627.28889500000002</v>
      </c>
      <c r="EA17" s="59">
        <v>1.0833564090926133</v>
      </c>
      <c r="EB17" s="58">
        <v>555.93922373092244</v>
      </c>
      <c r="EC17" s="58">
        <v>1136.7444982</v>
      </c>
      <c r="ED17" s="59">
        <v>2.044728002048998</v>
      </c>
      <c r="EE17" s="58">
        <v>7456.8017943898458</v>
      </c>
      <c r="EF17" s="58">
        <v>8555.0300874439181</v>
      </c>
      <c r="EG17" s="59">
        <v>1.1472787293180207</v>
      </c>
    </row>
    <row r="18" spans="1:137" x14ac:dyDescent="0.2">
      <c r="A18" s="83">
        <v>10</v>
      </c>
      <c r="B18" s="83" t="s">
        <v>41</v>
      </c>
      <c r="C18" s="76">
        <v>0.76082000000000005</v>
      </c>
      <c r="D18" s="76">
        <v>0</v>
      </c>
      <c r="E18" s="77">
        <v>0</v>
      </c>
      <c r="F18" s="76">
        <v>7778.5243300000002</v>
      </c>
      <c r="G18" s="76">
        <v>6917.9821843918926</v>
      </c>
      <c r="H18" s="77">
        <v>0.8893694858947484</v>
      </c>
      <c r="I18" s="76">
        <v>628.18507</v>
      </c>
      <c r="J18" s="76">
        <v>549.55097175188803</v>
      </c>
      <c r="K18" s="77">
        <v>0.87482335699555547</v>
      </c>
      <c r="L18" s="76">
        <v>560.505</v>
      </c>
      <c r="M18" s="76">
        <v>514.77457296928799</v>
      </c>
      <c r="N18" s="77">
        <v>0.91841209796395751</v>
      </c>
      <c r="O18" s="76">
        <v>8967.9752200000003</v>
      </c>
      <c r="P18" s="76">
        <v>7982.3077291130685</v>
      </c>
      <c r="Q18" s="77">
        <v>0.89009029722910726</v>
      </c>
      <c r="R18" s="45">
        <v>332.94109524051203</v>
      </c>
      <c r="S18" s="45">
        <v>49.018917000000002</v>
      </c>
      <c r="T18" s="46">
        <v>0.14722999864161981</v>
      </c>
      <c r="U18" s="47">
        <v>7059.0095536594872</v>
      </c>
      <c r="V18" s="47">
        <v>7287.7397456922999</v>
      </c>
      <c r="W18" s="46">
        <v>1.0324025899517639</v>
      </c>
      <c r="X18" s="47">
        <v>889.99438359783801</v>
      </c>
      <c r="Y18" s="47">
        <v>777.09168717126488</v>
      </c>
      <c r="Z18" s="46">
        <v>0.87314223717889161</v>
      </c>
      <c r="AA18" s="47">
        <v>704.13461330216205</v>
      </c>
      <c r="AB18" s="47">
        <v>698.412824016846</v>
      </c>
      <c r="AC18" s="46">
        <v>0.99187401218854632</v>
      </c>
      <c r="AD18" s="47">
        <v>8986.0796457999986</v>
      </c>
      <c r="AE18" s="47">
        <v>8814.8431168804109</v>
      </c>
      <c r="AF18" s="46">
        <v>0.98094424535847269</v>
      </c>
      <c r="AG18" s="48">
        <v>1477.37663</v>
      </c>
      <c r="AH18" s="48">
        <v>711.20519750000005</v>
      </c>
      <c r="AI18" s="49">
        <v>0.48139735193997218</v>
      </c>
      <c r="AJ18" s="48">
        <v>5908.2243200000003</v>
      </c>
      <c r="AK18" s="48">
        <v>6343.307894300001</v>
      </c>
      <c r="AL18" s="49">
        <v>1.0736403275730737</v>
      </c>
      <c r="AM18" s="48">
        <v>1129.0346420000001</v>
      </c>
      <c r="AN18" s="48">
        <v>1008.3677773561774</v>
      </c>
      <c r="AO18" s="49">
        <v>0.89312385984005738</v>
      </c>
      <c r="AP18" s="50">
        <v>828.92508120000002</v>
      </c>
      <c r="AQ18" s="50">
        <v>807.08968684382262</v>
      </c>
      <c r="AR18" s="49">
        <v>0.97365818111744529</v>
      </c>
      <c r="AS18" s="48">
        <v>9343.5606732000015</v>
      </c>
      <c r="AT18" s="48">
        <v>8869.970556000002</v>
      </c>
      <c r="AU18" s="51">
        <v>0.94931374304033889</v>
      </c>
      <c r="AV18" s="48">
        <v>1022</v>
      </c>
      <c r="AW18" s="48">
        <v>437.45813450999998</v>
      </c>
      <c r="AX18" s="52">
        <v>0.42804122750489237</v>
      </c>
      <c r="AY18" s="48">
        <v>7697.6284000000069</v>
      </c>
      <c r="AZ18" s="48">
        <v>7631.7404349999997</v>
      </c>
      <c r="BA18" s="52">
        <v>0.99144048509798066</v>
      </c>
      <c r="BB18" s="48">
        <v>1461.1844999999998</v>
      </c>
      <c r="BC18" s="48">
        <v>1243.8627999999999</v>
      </c>
      <c r="BD18" s="52">
        <v>0.851270185250391</v>
      </c>
      <c r="BE18" s="53">
        <v>1255.0307</v>
      </c>
      <c r="BF18" s="53">
        <v>1006.2387000000001</v>
      </c>
      <c r="BG18" s="52">
        <v>0.80176421182366298</v>
      </c>
      <c r="BH18" s="48">
        <v>11435.843600000006</v>
      </c>
      <c r="BI18" s="48">
        <v>10319.30006951</v>
      </c>
      <c r="BJ18" s="52">
        <v>0.90236456797205544</v>
      </c>
      <c r="BK18" s="54">
        <v>231.51</v>
      </c>
      <c r="BL18" s="54">
        <v>407.70700799999997</v>
      </c>
      <c r="BM18" s="55">
        <v>1.7610773098354282</v>
      </c>
      <c r="BN18" s="54">
        <v>12341.8392</v>
      </c>
      <c r="BO18" s="54">
        <v>13059.171799999998</v>
      </c>
      <c r="BP18" s="55">
        <v>1.0581220179890205</v>
      </c>
      <c r="BQ18" s="54">
        <v>1244.3061025717052</v>
      </c>
      <c r="BR18" s="54">
        <v>1418.9135533601079</v>
      </c>
      <c r="BS18" s="55">
        <v>1.1403251582769929</v>
      </c>
      <c r="BT18" s="54">
        <v>2289.2366974282945</v>
      </c>
      <c r="BU18" s="54">
        <v>1521.7005466398925</v>
      </c>
      <c r="BV18" s="55">
        <v>0.66471961957859382</v>
      </c>
      <c r="BW18" s="54">
        <v>16106.892</v>
      </c>
      <c r="BX18" s="54">
        <v>16407.492907999997</v>
      </c>
      <c r="BY18" s="55">
        <v>1.018662874749517</v>
      </c>
      <c r="BZ18" s="56">
        <v>163.06819999999999</v>
      </c>
      <c r="CA18" s="56">
        <v>122.1617</v>
      </c>
      <c r="CB18" s="57">
        <v>0.74914483633228313</v>
      </c>
      <c r="CC18" s="56">
        <v>12876.0527</v>
      </c>
      <c r="CD18" s="56">
        <v>11166.630099999998</v>
      </c>
      <c r="CE18" s="57">
        <v>0.86724016747772381</v>
      </c>
      <c r="CF18" s="56">
        <v>3233.8203263753712</v>
      </c>
      <c r="CG18" s="56">
        <v>2247.5467129299818</v>
      </c>
      <c r="CH18" s="57">
        <v>0.69501285974324534</v>
      </c>
      <c r="CI18" s="56">
        <v>1410.4063736246283</v>
      </c>
      <c r="CJ18" s="56">
        <v>1609.3477870700181</v>
      </c>
      <c r="CK18" s="57">
        <v>1.1410525485177203</v>
      </c>
      <c r="CL18" s="56">
        <v>17683.347600000001</v>
      </c>
      <c r="CM18" s="56">
        <v>15145.686299999998</v>
      </c>
      <c r="CN18" s="57">
        <v>0.85649429296973145</v>
      </c>
      <c r="CO18" s="58">
        <v>1.4536416000000001</v>
      </c>
      <c r="CP18" s="58">
        <v>28.4426924921999</v>
      </c>
      <c r="CQ18" s="59">
        <v>19.5665097175259</v>
      </c>
      <c r="CR18" s="58">
        <v>18081.388017900008</v>
      </c>
      <c r="CS18" s="58">
        <v>12768.053392537799</v>
      </c>
      <c r="CT18" s="59">
        <v>0.70614343212467012</v>
      </c>
      <c r="CU18" s="58">
        <v>4497.70264709604</v>
      </c>
      <c r="CV18" s="58">
        <v>3463.5933220625197</v>
      </c>
      <c r="CW18" s="59">
        <v>0.77008054863271203</v>
      </c>
      <c r="CX18" s="58">
        <v>1947.63888545396</v>
      </c>
      <c r="CY18" s="58">
        <v>1702.1095726474898</v>
      </c>
      <c r="CZ18" s="59">
        <v>0.87393488873105873</v>
      </c>
      <c r="DA18" s="58">
        <v>24528.183192050012</v>
      </c>
      <c r="DB18" s="58">
        <v>17962.198979740006</v>
      </c>
      <c r="DC18" s="59">
        <v>0.73230857903743352</v>
      </c>
      <c r="DD18" s="58">
        <v>0</v>
      </c>
      <c r="DE18" s="58">
        <v>0</v>
      </c>
      <c r="DF18" s="59" t="s">
        <v>36</v>
      </c>
      <c r="DG18" s="58">
        <v>19002.017534979997</v>
      </c>
      <c r="DH18" s="58">
        <v>13092.311739550001</v>
      </c>
      <c r="DI18" s="59">
        <v>0.68899587717193334</v>
      </c>
      <c r="DJ18" s="58">
        <v>5967.30332765401</v>
      </c>
      <c r="DK18" s="58">
        <v>8309.5201162822686</v>
      </c>
      <c r="DL18" s="59">
        <v>1.3925084179605596</v>
      </c>
      <c r="DM18" s="58">
        <v>6251.9378602859906</v>
      </c>
      <c r="DN18" s="58">
        <v>10513.179920247063</v>
      </c>
      <c r="DO18" s="59">
        <v>1.681587398209704</v>
      </c>
      <c r="DP18" s="58">
        <v>31221.258722919996</v>
      </c>
      <c r="DQ18" s="58">
        <v>31915.011776079336</v>
      </c>
      <c r="DR18" s="59">
        <v>1.0222205343902437</v>
      </c>
      <c r="DS18" s="58"/>
      <c r="DT18" s="58"/>
      <c r="DU18" s="59" t="s">
        <v>36</v>
      </c>
      <c r="DV18" s="58">
        <v>20741.10646873001</v>
      </c>
      <c r="DW18" s="58">
        <v>17800.82692073</v>
      </c>
      <c r="DX18" s="59">
        <v>0.85823902150867049</v>
      </c>
      <c r="DY18" s="58">
        <v>9801.8619657713607</v>
      </c>
      <c r="DZ18" s="58">
        <v>7487.8884421251487</v>
      </c>
      <c r="EA18" s="59">
        <v>0.76392510609446096</v>
      </c>
      <c r="EB18" s="58">
        <v>3906.6434904986399</v>
      </c>
      <c r="EC18" s="58">
        <v>8862.9155714048502</v>
      </c>
      <c r="ED18" s="59">
        <v>2.2686778542655288</v>
      </c>
      <c r="EE18" s="58">
        <v>34449.611925000012</v>
      </c>
      <c r="EF18" s="58">
        <v>34151.63093426</v>
      </c>
      <c r="EG18" s="59">
        <v>0.99135023664740418</v>
      </c>
    </row>
    <row r="19" spans="1:137" x14ac:dyDescent="0.2">
      <c r="A19" s="75">
        <v>11</v>
      </c>
      <c r="B19" s="83" t="s">
        <v>42</v>
      </c>
      <c r="C19" s="76"/>
      <c r="D19" s="76"/>
      <c r="E19" s="77"/>
      <c r="F19" s="76"/>
      <c r="G19" s="76"/>
      <c r="H19" s="77"/>
      <c r="I19" s="76"/>
      <c r="J19" s="76"/>
      <c r="K19" s="77"/>
      <c r="L19" s="76"/>
      <c r="M19" s="76"/>
      <c r="N19" s="77"/>
      <c r="O19" s="76"/>
      <c r="P19" s="76"/>
      <c r="Q19" s="77"/>
      <c r="R19" s="45"/>
      <c r="S19" s="45"/>
      <c r="T19" s="46"/>
      <c r="U19" s="47"/>
      <c r="V19" s="47"/>
      <c r="W19" s="46"/>
      <c r="X19" s="47"/>
      <c r="Y19" s="47"/>
      <c r="Z19" s="46"/>
      <c r="AA19" s="47"/>
      <c r="AB19" s="47"/>
      <c r="AC19" s="46"/>
      <c r="AD19" s="47"/>
      <c r="AE19" s="47"/>
      <c r="AF19" s="46"/>
      <c r="AG19" s="48"/>
      <c r="AH19" s="48"/>
      <c r="AI19" s="49"/>
      <c r="AJ19" s="48"/>
      <c r="AK19" s="48"/>
      <c r="AL19" s="49"/>
      <c r="AM19" s="48"/>
      <c r="AN19" s="48"/>
      <c r="AO19" s="49"/>
      <c r="AP19" s="50"/>
      <c r="AQ19" s="50"/>
      <c r="AR19" s="49"/>
      <c r="AS19" s="48"/>
      <c r="AT19" s="48"/>
      <c r="AU19" s="51"/>
      <c r="AV19" s="48"/>
      <c r="AW19" s="48"/>
      <c r="AX19" s="52"/>
      <c r="AY19" s="48"/>
      <c r="AZ19" s="48"/>
      <c r="BA19" s="52"/>
      <c r="BB19" s="48"/>
      <c r="BC19" s="48"/>
      <c r="BD19" s="52"/>
      <c r="BE19" s="53"/>
      <c r="BF19" s="53"/>
      <c r="BG19" s="52"/>
      <c r="BH19" s="48"/>
      <c r="BI19" s="48"/>
      <c r="BJ19" s="52"/>
      <c r="BK19" s="54"/>
      <c r="BL19" s="54"/>
      <c r="BM19" s="55" t="s">
        <v>36</v>
      </c>
      <c r="BN19" s="54"/>
      <c r="BO19" s="54"/>
      <c r="BP19" s="55" t="s">
        <v>36</v>
      </c>
      <c r="BQ19" s="54"/>
      <c r="BR19" s="54"/>
      <c r="BS19" s="55" t="s">
        <v>36</v>
      </c>
      <c r="BT19" s="54"/>
      <c r="BU19" s="54"/>
      <c r="BV19" s="55" t="s">
        <v>36</v>
      </c>
      <c r="BW19" s="54"/>
      <c r="BX19" s="54"/>
      <c r="BY19" s="55" t="s">
        <v>36</v>
      </c>
      <c r="BZ19" s="56">
        <v>0</v>
      </c>
      <c r="CA19" s="56">
        <v>0</v>
      </c>
      <c r="CB19" s="57" t="s">
        <v>36</v>
      </c>
      <c r="CC19" s="56">
        <v>70.259285000000006</v>
      </c>
      <c r="CD19" s="56">
        <v>14.449978</v>
      </c>
      <c r="CE19" s="57">
        <v>0.20566645390712415</v>
      </c>
      <c r="CF19" s="56">
        <v>0</v>
      </c>
      <c r="CG19" s="56">
        <v>0</v>
      </c>
      <c r="CH19" s="57" t="s">
        <v>36</v>
      </c>
      <c r="CI19" s="56">
        <v>0</v>
      </c>
      <c r="CJ19" s="56">
        <v>0</v>
      </c>
      <c r="CK19" s="57" t="s">
        <v>36</v>
      </c>
      <c r="CL19" s="56">
        <v>70.259285000000006</v>
      </c>
      <c r="CM19" s="56">
        <v>14.449978</v>
      </c>
      <c r="CN19" s="57">
        <v>0.20566645390712415</v>
      </c>
      <c r="CO19" s="58">
        <v>0</v>
      </c>
      <c r="CP19" s="58">
        <v>0</v>
      </c>
      <c r="CQ19" s="59" t="s">
        <v>36</v>
      </c>
      <c r="CR19" s="58">
        <v>509.67470279999986</v>
      </c>
      <c r="CS19" s="58">
        <v>530.55418459999999</v>
      </c>
      <c r="CT19" s="59">
        <v>1.0409662902343289</v>
      </c>
      <c r="CU19" s="58">
        <v>29.583988001435031</v>
      </c>
      <c r="CV19" s="58">
        <v>19.227277962592236</v>
      </c>
      <c r="CW19" s="59">
        <v>0.64992177395622175</v>
      </c>
      <c r="CX19" s="58">
        <v>23.053468798564985</v>
      </c>
      <c r="CY19" s="58">
        <v>14.982951337407766</v>
      </c>
      <c r="CZ19" s="59">
        <v>0.64992177395622186</v>
      </c>
      <c r="DA19" s="58">
        <v>562.31215959999986</v>
      </c>
      <c r="DB19" s="58">
        <v>564.76441389999991</v>
      </c>
      <c r="DC19" s="59">
        <v>1.0043610195122661</v>
      </c>
      <c r="DD19" s="58">
        <v>0</v>
      </c>
      <c r="DE19" s="58">
        <v>0</v>
      </c>
      <c r="DF19" s="59" t="s">
        <v>36</v>
      </c>
      <c r="DG19" s="58">
        <v>8636.7683566999058</v>
      </c>
      <c r="DH19" s="58">
        <v>6103.5326886999992</v>
      </c>
      <c r="DI19" s="59">
        <v>0.70669172040086392</v>
      </c>
      <c r="DJ19" s="58">
        <v>441.12706535545868</v>
      </c>
      <c r="DK19" s="58">
        <v>359.2139503165813</v>
      </c>
      <c r="DL19" s="59">
        <v>0.81430947798935871</v>
      </c>
      <c r="DM19" s="58">
        <v>198.39656414453538</v>
      </c>
      <c r="DN19" s="58">
        <v>161.55620258341892</v>
      </c>
      <c r="DO19" s="59">
        <v>0.81430947798935871</v>
      </c>
      <c r="DP19" s="58">
        <v>9276.2919861998998</v>
      </c>
      <c r="DQ19" s="58">
        <v>6624.3028415999997</v>
      </c>
      <c r="DR19" s="59">
        <v>0.71411107492679227</v>
      </c>
      <c r="DS19" s="58"/>
      <c r="DT19" s="58"/>
      <c r="DU19" s="59" t="s">
        <v>36</v>
      </c>
      <c r="DV19" s="58">
        <v>29101.778544899968</v>
      </c>
      <c r="DW19" s="58">
        <v>13538.518198599997</v>
      </c>
      <c r="DX19" s="59">
        <v>0.4652127421597948</v>
      </c>
      <c r="DY19" s="58">
        <v>1166.2285041891541</v>
      </c>
      <c r="DZ19" s="58">
        <v>924.54655352492784</v>
      </c>
      <c r="EA19" s="59">
        <v>0.79276621194209196</v>
      </c>
      <c r="EB19" s="58">
        <v>535.04334971084188</v>
      </c>
      <c r="EC19" s="58">
        <v>424.16428957507208</v>
      </c>
      <c r="ED19" s="59">
        <v>0.79276621194209196</v>
      </c>
      <c r="EE19" s="58">
        <v>30803.050398799965</v>
      </c>
      <c r="EF19" s="58">
        <v>14887.229041699997</v>
      </c>
      <c r="EG19" s="59">
        <v>0.48330372638289026</v>
      </c>
    </row>
    <row r="20" spans="1:137" x14ac:dyDescent="0.2">
      <c r="A20" s="83">
        <v>12</v>
      </c>
      <c r="B20" s="89" t="s">
        <v>43</v>
      </c>
      <c r="C20" s="76">
        <v>430.69628000000046</v>
      </c>
      <c r="D20" s="76">
        <v>64.14135980000006</v>
      </c>
      <c r="E20" s="77">
        <v>0.14892480566583949</v>
      </c>
      <c r="F20" s="76">
        <v>3248.1355199999939</v>
      </c>
      <c r="G20" s="76">
        <v>3644.8249419244321</v>
      </c>
      <c r="H20" s="77">
        <v>1.1221283470107304</v>
      </c>
      <c r="I20" s="76">
        <v>91.936959205813196</v>
      </c>
      <c r="J20" s="76">
        <v>141.16016999999999</v>
      </c>
      <c r="K20" s="77">
        <v>1.5354017711635866</v>
      </c>
      <c r="L20" s="76">
        <v>633.48649304352602</v>
      </c>
      <c r="M20" s="76">
        <v>141.91817</v>
      </c>
      <c r="N20" s="77">
        <v>0.22402714431710699</v>
      </c>
      <c r="O20" s="76">
        <v>4404.2552522493334</v>
      </c>
      <c r="P20" s="76">
        <v>3992.044641724432</v>
      </c>
      <c r="Q20" s="77">
        <v>0.90640628507751042</v>
      </c>
      <c r="R20" s="45">
        <v>260.17</v>
      </c>
      <c r="S20" s="45">
        <v>3.13</v>
      </c>
      <c r="T20" s="46">
        <v>1.2030595379943882E-2</v>
      </c>
      <c r="U20" s="47">
        <v>856.81</v>
      </c>
      <c r="V20" s="47">
        <v>519.66</v>
      </c>
      <c r="W20" s="46">
        <v>0.60650552631271815</v>
      </c>
      <c r="X20" s="90">
        <v>1123.710174302021</v>
      </c>
      <c r="Y20" s="47">
        <v>531.87844027485517</v>
      </c>
      <c r="Z20" s="46">
        <v>0.47332350675317597</v>
      </c>
      <c r="AA20" s="47">
        <v>1121.8998256979794</v>
      </c>
      <c r="AB20" s="47">
        <v>531.02155972514447</v>
      </c>
      <c r="AC20" s="46">
        <v>0.47332350675317597</v>
      </c>
      <c r="AD20" s="47">
        <v>3362.59</v>
      </c>
      <c r="AE20" s="47">
        <v>1585.6899999999996</v>
      </c>
      <c r="AF20" s="46">
        <f>AE20/AD20</f>
        <v>0.4715680472492928</v>
      </c>
      <c r="AG20" s="48">
        <v>241.18</v>
      </c>
      <c r="AH20" s="48">
        <v>20.27</v>
      </c>
      <c r="AI20" s="49">
        <v>8.4045111534953143E-2</v>
      </c>
      <c r="AJ20" s="48">
        <v>543.87</v>
      </c>
      <c r="AK20" s="48">
        <v>182.167068366747</v>
      </c>
      <c r="AL20" s="49">
        <v>0.33494597673478405</v>
      </c>
      <c r="AM20" s="48">
        <v>2082.9037412938601</v>
      </c>
      <c r="AN20" s="48">
        <v>987.15394859035257</v>
      </c>
      <c r="AO20" s="49">
        <v>0.47393162200436173</v>
      </c>
      <c r="AP20" s="50">
        <v>1892.1662587061364</v>
      </c>
      <c r="AQ20" s="50">
        <v>884.64605140964738</v>
      </c>
      <c r="AR20" s="49">
        <v>0.46753082470383361</v>
      </c>
      <c r="AS20" s="48">
        <v>4760.1199999999963</v>
      </c>
      <c r="AT20" s="48">
        <v>2074.2370683667468</v>
      </c>
      <c r="AU20" s="51">
        <v>0.43575310462062899</v>
      </c>
      <c r="AV20" s="91">
        <v>-0.53562074386696612</v>
      </c>
      <c r="AW20" s="91">
        <v>0</v>
      </c>
      <c r="AX20" s="52">
        <v>0</v>
      </c>
      <c r="AY20" s="48">
        <v>321.78954734625751</v>
      </c>
      <c r="AZ20" s="48">
        <v>206.66776487610653</v>
      </c>
      <c r="BA20" s="52">
        <v>0.64224511510849147</v>
      </c>
      <c r="BB20" s="48">
        <v>1382.7672014665</v>
      </c>
      <c r="BC20" s="48">
        <v>633.51107876912852</v>
      </c>
      <c r="BD20" s="52">
        <v>0.45814731366006911</v>
      </c>
      <c r="BE20" s="53">
        <v>3139.6579333556915</v>
      </c>
      <c r="BF20" s="53">
        <v>1734.4576298108816</v>
      </c>
      <c r="BG20" s="52">
        <v>0.55243522276233425</v>
      </c>
      <c r="BH20" s="48">
        <v>4843.679061424582</v>
      </c>
      <c r="BI20" s="48">
        <v>2574.6364734561166</v>
      </c>
      <c r="BJ20" s="52">
        <v>0.53154563727409432</v>
      </c>
      <c r="BK20" s="54"/>
      <c r="BL20" s="54"/>
      <c r="BM20" s="55"/>
      <c r="BN20" s="54"/>
      <c r="BO20" s="54"/>
      <c r="BP20" s="55"/>
      <c r="BQ20" s="54"/>
      <c r="BR20" s="54"/>
      <c r="BS20" s="55"/>
      <c r="BT20" s="54"/>
      <c r="BU20" s="54"/>
      <c r="BV20" s="55"/>
      <c r="BW20" s="54"/>
      <c r="BX20" s="54"/>
      <c r="BY20" s="55"/>
      <c r="BZ20" s="56"/>
      <c r="CA20" s="56"/>
      <c r="CB20" s="57"/>
      <c r="CC20" s="56"/>
      <c r="CD20" s="56"/>
      <c r="CE20" s="57"/>
      <c r="CF20" s="56"/>
      <c r="CG20" s="56"/>
      <c r="CH20" s="57"/>
      <c r="CI20" s="56"/>
      <c r="CJ20" s="56"/>
      <c r="CK20" s="57"/>
      <c r="CL20" s="56"/>
      <c r="CM20" s="56"/>
      <c r="CN20" s="57"/>
      <c r="CO20" s="58"/>
      <c r="CP20" s="58"/>
      <c r="CQ20" s="59"/>
      <c r="CR20" s="58"/>
      <c r="CS20" s="58"/>
      <c r="CT20" s="59"/>
      <c r="CU20" s="58"/>
      <c r="CV20" s="58"/>
      <c r="CW20" s="59"/>
      <c r="CX20" s="58"/>
      <c r="CY20" s="58"/>
      <c r="CZ20" s="59"/>
      <c r="DA20" s="58"/>
      <c r="DB20" s="58"/>
      <c r="DC20" s="59"/>
      <c r="DD20" s="58"/>
      <c r="DE20" s="58"/>
      <c r="DF20" s="59"/>
      <c r="DG20" s="58"/>
      <c r="DH20" s="58"/>
      <c r="DI20" s="59"/>
      <c r="DJ20" s="58"/>
      <c r="DK20" s="58"/>
      <c r="DL20" s="59"/>
      <c r="DM20" s="58"/>
      <c r="DN20" s="58"/>
      <c r="DO20" s="59"/>
      <c r="DP20" s="58"/>
      <c r="DQ20" s="58"/>
      <c r="DR20" s="59"/>
      <c r="DS20" s="58"/>
      <c r="DT20" s="58"/>
      <c r="DU20" s="59"/>
      <c r="DV20" s="58"/>
      <c r="DW20" s="58"/>
      <c r="DX20" s="59"/>
      <c r="DY20" s="58"/>
      <c r="DZ20" s="58"/>
      <c r="EA20" s="59"/>
      <c r="EB20" s="58"/>
      <c r="EC20" s="58"/>
      <c r="ED20" s="59"/>
      <c r="EE20" s="58"/>
      <c r="EF20" s="58"/>
      <c r="EG20" s="59"/>
    </row>
    <row r="21" spans="1:137" x14ac:dyDescent="0.2">
      <c r="A21" s="92"/>
      <c r="B21" s="89" t="s">
        <v>44</v>
      </c>
      <c r="C21" s="76">
        <v>1826.4092384023108</v>
      </c>
      <c r="D21" s="76">
        <v>1424.8971560344971</v>
      </c>
      <c r="E21" s="77">
        <v>0.78016313434822271</v>
      </c>
      <c r="F21" s="76">
        <v>22437.076997970391</v>
      </c>
      <c r="G21" s="76">
        <v>28145.610370266921</v>
      </c>
      <c r="H21" s="77">
        <v>1.2544241111626488</v>
      </c>
      <c r="I21" s="76">
        <v>6098.0067581931735</v>
      </c>
      <c r="J21" s="76">
        <v>2304.1594031834488</v>
      </c>
      <c r="K21" s="77">
        <v>0.37785451780413676</v>
      </c>
      <c r="L21" s="76">
        <v>7455.8471192935513</v>
      </c>
      <c r="M21" s="76">
        <v>1665.2896917849732</v>
      </c>
      <c r="N21" s="77">
        <v>0.22335351907574535</v>
      </c>
      <c r="O21" s="76">
        <v>37817.340113859427</v>
      </c>
      <c r="P21" s="76">
        <v>33539.956621269841</v>
      </c>
      <c r="Q21" s="77">
        <v>0.88689359220634356</v>
      </c>
      <c r="R21" s="45">
        <v>1760.9699259111517</v>
      </c>
      <c r="S21" s="45">
        <v>1795.0581243109941</v>
      </c>
      <c r="T21" s="46">
        <v>1.0193576266682718</v>
      </c>
      <c r="U21" s="93">
        <v>9647.9549529814922</v>
      </c>
      <c r="V21" s="93">
        <v>9561.4444134542082</v>
      </c>
      <c r="W21" s="46">
        <v>0.99103327700544974</v>
      </c>
      <c r="X21" s="93">
        <v>14254.910510325368</v>
      </c>
      <c r="Y21" s="93">
        <v>4006.1593713045936</v>
      </c>
      <c r="Z21" s="46">
        <v>0.28103714635057031</v>
      </c>
      <c r="AA21" s="93">
        <v>2663.5801669077759</v>
      </c>
      <c r="AB21" s="93">
        <v>3538.5227452112895</v>
      </c>
      <c r="AC21" s="46">
        <v>1.3284836661474539</v>
      </c>
      <c r="AD21" s="93">
        <v>28327.415556125787</v>
      </c>
      <c r="AE21" s="93">
        <v>18901.184654281085</v>
      </c>
      <c r="AF21" s="46">
        <v>0.66723999642084242</v>
      </c>
      <c r="AG21" s="48">
        <v>0.14000000000000001</v>
      </c>
      <c r="AH21" s="48"/>
      <c r="AI21" s="49"/>
      <c r="AJ21" s="48">
        <v>9158.7364815176134</v>
      </c>
      <c r="AK21" s="48">
        <v>9350.7057569609296</v>
      </c>
      <c r="AL21" s="49">
        <v>1.0209602357083547</v>
      </c>
      <c r="AM21" s="48">
        <v>9712.7617956894628</v>
      </c>
      <c r="AN21" s="48">
        <v>5305.1953621287066</v>
      </c>
      <c r="AO21" s="49">
        <v>0.54620873791872049</v>
      </c>
      <c r="AP21" s="50">
        <v>9954.6976494816554</v>
      </c>
      <c r="AQ21" s="50">
        <v>2936.0062970130289</v>
      </c>
      <c r="AR21" s="49">
        <v>0.29493676256113188</v>
      </c>
      <c r="AS21" s="48">
        <v>28826.195926688735</v>
      </c>
      <c r="AT21" s="48">
        <v>17591.907416102666</v>
      </c>
      <c r="AU21" s="51">
        <v>0.61027502417740787</v>
      </c>
      <c r="AV21" s="48"/>
      <c r="AW21" s="48"/>
      <c r="AX21" s="52"/>
      <c r="AY21" s="48">
        <v>10761.1596866573</v>
      </c>
      <c r="AZ21" s="48">
        <v>10713.251769143695</v>
      </c>
      <c r="BA21" s="52">
        <v>0.99554807112722199</v>
      </c>
      <c r="BB21" s="48">
        <v>16339.834956651766</v>
      </c>
      <c r="BC21" s="48">
        <v>6394.5989319854043</v>
      </c>
      <c r="BD21" s="52">
        <v>0.39135027672860512</v>
      </c>
      <c r="BE21" s="53">
        <v>6112.1739354613437</v>
      </c>
      <c r="BF21" s="53">
        <v>3318.4992835141893</v>
      </c>
      <c r="BG21" s="52">
        <v>0.54293273040890822</v>
      </c>
      <c r="BH21" s="48">
        <v>33213.168578770412</v>
      </c>
      <c r="BI21" s="48">
        <v>20426.34998464329</v>
      </c>
      <c r="BJ21" s="52">
        <v>0.61500756653791977</v>
      </c>
      <c r="BK21" s="54"/>
      <c r="BL21" s="54"/>
      <c r="BM21" s="55" t="s">
        <v>36</v>
      </c>
      <c r="BN21" s="54">
        <v>14584.216560155875</v>
      </c>
      <c r="BO21" s="54">
        <v>14537.44861537768</v>
      </c>
      <c r="BP21" s="55">
        <v>0.99679324942925174</v>
      </c>
      <c r="BQ21" s="54">
        <v>21106.549500575802</v>
      </c>
      <c r="BR21" s="54">
        <v>12713.849037076607</v>
      </c>
      <c r="BS21" s="55">
        <v>0.60236511120539926</v>
      </c>
      <c r="BT21" s="54">
        <v>9188.5839465435001</v>
      </c>
      <c r="BU21" s="54">
        <v>2755.8964788617891</v>
      </c>
      <c r="BV21" s="55">
        <v>0.2999261360504285</v>
      </c>
      <c r="BW21" s="54">
        <v>44879.350007275178</v>
      </c>
      <c r="BX21" s="54">
        <v>30007.194131316075</v>
      </c>
      <c r="BY21" s="55">
        <v>0.66861917845182139</v>
      </c>
      <c r="BZ21" s="56">
        <v>5160.7253424657501</v>
      </c>
      <c r="CA21" s="56">
        <v>1733.6993839999961</v>
      </c>
      <c r="CB21" s="57">
        <v>0.33594102940026827</v>
      </c>
      <c r="CC21" s="56">
        <v>23500.176601301893</v>
      </c>
      <c r="CD21" s="56">
        <v>28517.172942551297</v>
      </c>
      <c r="CE21" s="57">
        <v>1.2134876016621707</v>
      </c>
      <c r="CF21" s="56">
        <v>24521.589169549832</v>
      </c>
      <c r="CG21" s="56">
        <v>17636.166798669179</v>
      </c>
      <c r="CH21" s="57">
        <v>0.71920978190798657</v>
      </c>
      <c r="CI21" s="56">
        <v>11619.047948933639</v>
      </c>
      <c r="CJ21" s="56">
        <v>4942.8343408068231</v>
      </c>
      <c r="CK21" s="57">
        <v>0.42540786151592236</v>
      </c>
      <c r="CL21" s="56">
        <v>64801.539062251119</v>
      </c>
      <c r="CM21" s="56">
        <v>52829.873466027297</v>
      </c>
      <c r="CN21" s="57">
        <v>0.81525646196885337</v>
      </c>
      <c r="CO21" s="58">
        <v>5994.6496570592499</v>
      </c>
      <c r="CP21" s="58">
        <v>5620.1477797067464</v>
      </c>
      <c r="CQ21" s="59">
        <v>0.93752731205709527</v>
      </c>
      <c r="CR21" s="58">
        <v>20906.219762590812</v>
      </c>
      <c r="CS21" s="58">
        <v>20733.765888714275</v>
      </c>
      <c r="CT21" s="59">
        <v>0.99175107332483314</v>
      </c>
      <c r="CU21" s="58">
        <v>28741.221515601053</v>
      </c>
      <c r="CV21" s="58">
        <v>24106.117382421471</v>
      </c>
      <c r="CW21" s="59">
        <v>0.8387297446399905</v>
      </c>
      <c r="CX21" s="58">
        <v>12490.266080087695</v>
      </c>
      <c r="CY21" s="58">
        <v>7600.9361675716091</v>
      </c>
      <c r="CZ21" s="59">
        <v>0.60854877861162771</v>
      </c>
      <c r="DA21" s="58">
        <v>68132.357015338814</v>
      </c>
      <c r="DB21" s="58">
        <v>58060.967218414095</v>
      </c>
      <c r="DC21" s="59">
        <v>0.85217904916077802</v>
      </c>
      <c r="DD21" s="58">
        <v>9.9520030000000013</v>
      </c>
      <c r="DE21" s="58">
        <v>-634.1652007000032</v>
      </c>
      <c r="DF21" s="59">
        <v>-63.722368321231727</v>
      </c>
      <c r="DG21" s="58">
        <v>73906.863041477976</v>
      </c>
      <c r="DH21" s="58">
        <v>69073.769309137424</v>
      </c>
      <c r="DI21" s="59">
        <v>0.93460561667151087</v>
      </c>
      <c r="DJ21" s="58">
        <v>104450.6813463735</v>
      </c>
      <c r="DK21" s="58">
        <v>78445.921524286881</v>
      </c>
      <c r="DL21" s="59">
        <v>0.75103312408416856</v>
      </c>
      <c r="DM21" s="58">
        <v>71044.819031435065</v>
      </c>
      <c r="DN21" s="58">
        <v>66189.659751894113</v>
      </c>
      <c r="DO21" s="59">
        <v>0.93166061444406378</v>
      </c>
      <c r="DP21" s="58">
        <v>249412.31542228657</v>
      </c>
      <c r="DQ21" s="58">
        <v>213075.18538461841</v>
      </c>
      <c r="DR21" s="59">
        <v>0.85430899843039099</v>
      </c>
      <c r="DS21" s="58"/>
      <c r="DT21" s="58"/>
      <c r="DU21" s="59" t="s">
        <v>36</v>
      </c>
      <c r="DV21" s="58">
        <v>73523.948552943417</v>
      </c>
      <c r="DW21" s="58">
        <v>77995.173647212519</v>
      </c>
      <c r="DX21" s="59">
        <v>1.0608131796818481</v>
      </c>
      <c r="DY21" s="58">
        <v>137712.68304080763</v>
      </c>
      <c r="DZ21" s="58">
        <v>148855.67807588467</v>
      </c>
      <c r="EA21" s="59">
        <v>1.0809148060224423</v>
      </c>
      <c r="EB21" s="58">
        <v>51725.659867911643</v>
      </c>
      <c r="EC21" s="58">
        <v>56702.903047873791</v>
      </c>
      <c r="ED21" s="59">
        <v>1.0962238701772429</v>
      </c>
      <c r="EE21" s="58">
        <v>262962.29146166268</v>
      </c>
      <c r="EF21" s="58">
        <v>283553.75477097102</v>
      </c>
      <c r="EG21" s="59">
        <v>1.0783057646586958</v>
      </c>
    </row>
    <row r="22" spans="1:137" x14ac:dyDescent="0.2">
      <c r="A22" s="41">
        <v>13</v>
      </c>
      <c r="B22" s="42" t="s">
        <v>45</v>
      </c>
      <c r="C22" s="76">
        <v>29632.283041748356</v>
      </c>
      <c r="D22" s="76">
        <v>25925.289936771005</v>
      </c>
      <c r="E22" s="77">
        <v>0.87490018572802375</v>
      </c>
      <c r="F22" s="76">
        <v>62657.59399556517</v>
      </c>
      <c r="G22" s="76">
        <v>65388.002097350116</v>
      </c>
      <c r="H22" s="77">
        <v>1.0435766509320195</v>
      </c>
      <c r="I22" s="76">
        <v>10246.790815542148</v>
      </c>
      <c r="J22" s="76">
        <v>7871.6509750819905</v>
      </c>
      <c r="K22" s="77">
        <v>0.76820646744758481</v>
      </c>
      <c r="L22" s="76">
        <v>12335.014444458211</v>
      </c>
      <c r="M22" s="76">
        <v>8016.7850049180106</v>
      </c>
      <c r="N22" s="77">
        <v>0.64992100666081798</v>
      </c>
      <c r="O22" s="76">
        <v>114871.68229731389</v>
      </c>
      <c r="P22" s="76">
        <v>107201.72801412112</v>
      </c>
      <c r="Q22" s="77">
        <v>0.93323024326098758</v>
      </c>
      <c r="R22" s="45">
        <v>14727.655137702979</v>
      </c>
      <c r="S22" s="45">
        <v>13187.600809723996</v>
      </c>
      <c r="T22" s="46">
        <v>0.8954311250786674</v>
      </c>
      <c r="U22" s="94">
        <v>53305.457570998733</v>
      </c>
      <c r="V22" s="94">
        <v>54572.086349263125</v>
      </c>
      <c r="W22" s="46">
        <v>1.0237617091378934</v>
      </c>
      <c r="X22" s="94">
        <v>12006.821494910693</v>
      </c>
      <c r="Y22" s="94">
        <v>7669.6122502998751</v>
      </c>
      <c r="Z22" s="46">
        <v>0.6387712396283044</v>
      </c>
      <c r="AA22" s="94">
        <v>14692.961160952162</v>
      </c>
      <c r="AB22" s="94">
        <v>8999.0850197001237</v>
      </c>
      <c r="AC22" s="46">
        <v>0.61247592783515858</v>
      </c>
      <c r="AD22" s="94">
        <v>94732.895364564567</v>
      </c>
      <c r="AE22" s="94">
        <v>84428.384428987119</v>
      </c>
      <c r="AF22" s="46">
        <v>0.89122563080203376</v>
      </c>
      <c r="AG22" s="48">
        <v>9185.3139300000003</v>
      </c>
      <c r="AH22" s="48">
        <v>8275.2760737950011</v>
      </c>
      <c r="AI22" s="49">
        <v>0.90092468660948655</v>
      </c>
      <c r="AJ22" s="48">
        <v>51517.685270000002</v>
      </c>
      <c r="AK22" s="48">
        <v>49749.326415070995</v>
      </c>
      <c r="AL22" s="49">
        <v>0.96567472226942686</v>
      </c>
      <c r="AM22" s="48">
        <v>14629.439208289281</v>
      </c>
      <c r="AN22" s="48">
        <v>9630.7695203537096</v>
      </c>
      <c r="AO22" s="49">
        <v>0.65831433339541523</v>
      </c>
      <c r="AP22" s="50">
        <v>18204.806701710721</v>
      </c>
      <c r="AQ22" s="50">
        <v>10391.877063046288</v>
      </c>
      <c r="AR22" s="49">
        <v>0.57083149705015845</v>
      </c>
      <c r="AS22" s="48">
        <v>93537.245110000003</v>
      </c>
      <c r="AT22" s="48">
        <v>78047.249072265986</v>
      </c>
      <c r="AU22" s="51">
        <v>0.83439755982210351</v>
      </c>
      <c r="AV22" s="48">
        <v>23939.328475899714</v>
      </c>
      <c r="AW22" s="48">
        <v>32284.354956719468</v>
      </c>
      <c r="AX22" s="52">
        <v>1.3485906669947274</v>
      </c>
      <c r="AY22" s="48">
        <v>54944.171195540039</v>
      </c>
      <c r="AZ22" s="48">
        <v>57043.634718439993</v>
      </c>
      <c r="BA22" s="52">
        <v>1.0382108507093173</v>
      </c>
      <c r="BB22" s="48">
        <v>16103.895565811588</v>
      </c>
      <c r="BC22" s="48">
        <v>10651.827934105437</v>
      </c>
      <c r="BD22" s="52">
        <v>0.66144417607371742</v>
      </c>
      <c r="BE22" s="53">
        <v>20503.706311948659</v>
      </c>
      <c r="BF22" s="53">
        <v>13031.091630735093</v>
      </c>
      <c r="BG22" s="52">
        <v>0.63554810201027634</v>
      </c>
      <c r="BH22" s="48">
        <v>115491.1015492</v>
      </c>
      <c r="BI22" s="48">
        <v>113010.90923999998</v>
      </c>
      <c r="BJ22" s="52">
        <v>0.97852481900396937</v>
      </c>
      <c r="BK22" s="54">
        <v>3704.4461700000002</v>
      </c>
      <c r="BL22" s="54">
        <v>3990.1936899999992</v>
      </c>
      <c r="BM22" s="55">
        <v>1.0771363671887284</v>
      </c>
      <c r="BN22" s="54">
        <v>64789.323549099987</v>
      </c>
      <c r="BO22" s="54">
        <v>57729.228660000001</v>
      </c>
      <c r="BP22" s="55">
        <v>0.89102996447015592</v>
      </c>
      <c r="BQ22" s="54">
        <v>19528.795085875732</v>
      </c>
      <c r="BR22" s="54">
        <v>11752.025471145374</v>
      </c>
      <c r="BS22" s="55">
        <v>0.60177934273298139</v>
      </c>
      <c r="BT22" s="54">
        <v>23435.512420024272</v>
      </c>
      <c r="BU22" s="54">
        <v>13013.515911854625</v>
      </c>
      <c r="BV22" s="55">
        <v>0.55529043609626128</v>
      </c>
      <c r="BW22" s="54">
        <v>111458.077225</v>
      </c>
      <c r="BX22" s="54">
        <v>86484.963733000011</v>
      </c>
      <c r="BY22" s="55">
        <v>0.77594164448407932</v>
      </c>
      <c r="BZ22" s="56">
        <v>805.55236450000007</v>
      </c>
      <c r="CA22" s="56">
        <v>1775.22891</v>
      </c>
      <c r="CB22" s="57">
        <v>2.2037411697026927</v>
      </c>
      <c r="CC22" s="56">
        <v>100522.33314959999</v>
      </c>
      <c r="CD22" s="56">
        <v>94373.423389999996</v>
      </c>
      <c r="CE22" s="57">
        <v>0.93883041144250978</v>
      </c>
      <c r="CF22" s="56">
        <v>22557.551530665216</v>
      </c>
      <c r="CG22" s="56">
        <v>14133.36712477232</v>
      </c>
      <c r="CH22" s="57">
        <v>0.62654703927237487</v>
      </c>
      <c r="CI22" s="56">
        <v>27178.663200634786</v>
      </c>
      <c r="CJ22" s="56">
        <v>18086.937430227681</v>
      </c>
      <c r="CK22" s="57">
        <v>0.6654829671609912</v>
      </c>
      <c r="CL22" s="56">
        <v>151064.10024540001</v>
      </c>
      <c r="CM22" s="56">
        <v>128368.95685500001</v>
      </c>
      <c r="CN22" s="57">
        <v>0.8497648127282903</v>
      </c>
      <c r="CO22" s="58">
        <v>175.67730980000002</v>
      </c>
      <c r="CP22" s="58">
        <v>-366.62204975407985</v>
      </c>
      <c r="CQ22" s="59">
        <v>-2.0869061017126289</v>
      </c>
      <c r="CR22" s="58">
        <v>118631.46343070001</v>
      </c>
      <c r="CS22" s="58">
        <v>110643.48587179628</v>
      </c>
      <c r="CT22" s="59">
        <v>0.93266560718464031</v>
      </c>
      <c r="CU22" s="58">
        <v>27481.134114699998</v>
      </c>
      <c r="CV22" s="58">
        <v>17312.466440902383</v>
      </c>
      <c r="CW22" s="59">
        <v>0.62997641831825746</v>
      </c>
      <c r="CX22" s="58">
        <v>23900.198678799999</v>
      </c>
      <c r="CY22" s="58">
        <v>14755.946867354618</v>
      </c>
      <c r="CZ22" s="59">
        <v>0.61739850223268089</v>
      </c>
      <c r="DA22" s="58">
        <v>170188.47353399999</v>
      </c>
      <c r="DB22" s="58">
        <v>142345.27713029919</v>
      </c>
      <c r="DC22" s="59">
        <v>0.83639787216178108</v>
      </c>
      <c r="DD22" s="58">
        <v>0</v>
      </c>
      <c r="DE22" s="58">
        <v>-2.9713216929228148</v>
      </c>
      <c r="DF22" s="59" t="s">
        <v>36</v>
      </c>
      <c r="DG22" s="58">
        <v>146820.03657241206</v>
      </c>
      <c r="DH22" s="58">
        <v>141281.21784295514</v>
      </c>
      <c r="DI22" s="59">
        <v>0.96227477625831292</v>
      </c>
      <c r="DJ22" s="58">
        <v>34333.800094893348</v>
      </c>
      <c r="DK22" s="58">
        <v>24322.008465314819</v>
      </c>
      <c r="DL22" s="59">
        <v>0.70839838287904411</v>
      </c>
      <c r="DM22" s="58">
        <v>26927.685089394578</v>
      </c>
      <c r="DN22" s="58">
        <v>20777.004151622968</v>
      </c>
      <c r="DO22" s="59">
        <v>0.77158523217452346</v>
      </c>
      <c r="DP22" s="58">
        <v>208081.52175669998</v>
      </c>
      <c r="DQ22" s="58">
        <v>186377.2591382</v>
      </c>
      <c r="DR22" s="59">
        <v>0.89569346458414623</v>
      </c>
      <c r="DS22" s="58">
        <v>0</v>
      </c>
      <c r="DT22" s="58">
        <v>-20.358770248104086</v>
      </c>
      <c r="DU22" s="59" t="s">
        <v>36</v>
      </c>
      <c r="DV22" s="58">
        <v>209670.96323773678</v>
      </c>
      <c r="DW22" s="58">
        <v>220046.38213466681</v>
      </c>
      <c r="DX22" s="59">
        <v>1.0494842907034572</v>
      </c>
      <c r="DY22" s="58">
        <v>44297.570848603944</v>
      </c>
      <c r="DZ22" s="58">
        <v>41163.488880896381</v>
      </c>
      <c r="EA22" s="59">
        <v>0.92924934917043345</v>
      </c>
      <c r="EB22" s="58">
        <v>30469.168384343353</v>
      </c>
      <c r="EC22" s="58">
        <v>27871.222770561093</v>
      </c>
      <c r="ED22" s="59">
        <v>0.91473526349615697</v>
      </c>
      <c r="EE22" s="58">
        <v>284437.70247068407</v>
      </c>
      <c r="EF22" s="58">
        <v>289060.73501587618</v>
      </c>
      <c r="EG22" s="59">
        <v>1.0162532340299317</v>
      </c>
    </row>
    <row r="23" spans="1:137" x14ac:dyDescent="0.2">
      <c r="A23" s="95">
        <v>14</v>
      </c>
      <c r="B23" s="83" t="s">
        <v>46</v>
      </c>
      <c r="C23" s="43">
        <v>6734.513212399992</v>
      </c>
      <c r="D23" s="43">
        <v>4805.109628199998</v>
      </c>
      <c r="E23" s="77">
        <v>0.71350511561140606</v>
      </c>
      <c r="F23" s="43">
        <v>9661.4116273000054</v>
      </c>
      <c r="G23" s="43">
        <v>9751.8756071000025</v>
      </c>
      <c r="H23" s="77">
        <v>1.0093634329319305</v>
      </c>
      <c r="I23" s="43">
        <v>1305.2864834</v>
      </c>
      <c r="J23" s="43">
        <v>947.47593900000004</v>
      </c>
      <c r="K23" s="77">
        <v>0.72587585258067044</v>
      </c>
      <c r="L23" s="43">
        <v>1762.2986769000017</v>
      </c>
      <c r="M23" s="43">
        <v>1353.6088256999999</v>
      </c>
      <c r="N23" s="77">
        <v>0.76809274355303159</v>
      </c>
      <c r="O23" s="43">
        <v>19463.509999999998</v>
      </c>
      <c r="P23" s="43">
        <v>16858.07</v>
      </c>
      <c r="Q23" s="77">
        <v>0.86613719724756744</v>
      </c>
      <c r="R23" s="45">
        <v>8146.1137082999994</v>
      </c>
      <c r="S23" s="45">
        <v>6185.5836295999998</v>
      </c>
      <c r="T23" s="46">
        <v>0.75932939940398403</v>
      </c>
      <c r="U23" s="47">
        <v>13702.960280700012</v>
      </c>
      <c r="V23" s="47">
        <v>14948.319691600002</v>
      </c>
      <c r="W23" s="46">
        <v>1.090882508989975</v>
      </c>
      <c r="X23" s="47">
        <v>2741.3889301000004</v>
      </c>
      <c r="Y23" s="47">
        <v>2030.8802030999996</v>
      </c>
      <c r="Z23" s="46">
        <v>0.74082162541814789</v>
      </c>
      <c r="AA23" s="47">
        <v>2183.9776854000029</v>
      </c>
      <c r="AB23" s="47">
        <v>1672.7068282</v>
      </c>
      <c r="AC23" s="46">
        <v>0.76589923028157592</v>
      </c>
      <c r="AD23" s="47">
        <v>26774.440604500014</v>
      </c>
      <c r="AE23" s="47">
        <v>24837.490352500001</v>
      </c>
      <c r="AF23" s="46">
        <v>0.92765674246525742</v>
      </c>
      <c r="AG23" s="48">
        <v>8904.0260472999998</v>
      </c>
      <c r="AH23" s="48">
        <v>7671.0800199999994</v>
      </c>
      <c r="AI23" s="49">
        <v>0.86152937774998184</v>
      </c>
      <c r="AJ23" s="48">
        <v>21595.71531</v>
      </c>
      <c r="AK23" s="48">
        <v>25641.058919999999</v>
      </c>
      <c r="AL23" s="49">
        <v>1.1873215844870295</v>
      </c>
      <c r="AM23" s="48">
        <v>4487.55483</v>
      </c>
      <c r="AN23" s="48">
        <v>3897.3391299999998</v>
      </c>
      <c r="AO23" s="49">
        <v>0.86847721702377501</v>
      </c>
      <c r="AP23" s="50">
        <v>2445.0441000000001</v>
      </c>
      <c r="AQ23" s="50">
        <v>1935.62051</v>
      </c>
      <c r="AR23" s="49">
        <v>0.79165055141541207</v>
      </c>
      <c r="AS23" s="48">
        <v>37432.340287300001</v>
      </c>
      <c r="AT23" s="48">
        <v>39145.098579999998</v>
      </c>
      <c r="AU23" s="51">
        <v>1.045756110346141</v>
      </c>
      <c r="AV23" s="48">
        <v>7938.8160776000004</v>
      </c>
      <c r="AW23" s="48">
        <v>6015.5883432000001</v>
      </c>
      <c r="AX23" s="52">
        <v>0.75774375982502729</v>
      </c>
      <c r="AY23" s="48">
        <v>29152.185900799996</v>
      </c>
      <c r="AZ23" s="48">
        <v>35493.215190000003</v>
      </c>
      <c r="BA23" s="52">
        <v>1.2175147109303388</v>
      </c>
      <c r="BB23" s="48">
        <v>6650.1834863000013</v>
      </c>
      <c r="BC23" s="48">
        <v>5699.7104693999991</v>
      </c>
      <c r="BD23" s="52">
        <v>0.85707567033931242</v>
      </c>
      <c r="BE23" s="53">
        <v>2578.2594052999998</v>
      </c>
      <c r="BF23" s="53">
        <v>2059.9192564000004</v>
      </c>
      <c r="BG23" s="52">
        <v>0.79895733228608679</v>
      </c>
      <c r="BH23" s="48">
        <v>46319.444869999999</v>
      </c>
      <c r="BI23" s="48">
        <v>49268.433258999998</v>
      </c>
      <c r="BJ23" s="52">
        <v>1.0636663154594495</v>
      </c>
      <c r="BK23" s="54">
        <v>9051.4486498000006</v>
      </c>
      <c r="BL23" s="54">
        <v>6059.2665261000002</v>
      </c>
      <c r="BM23" s="55">
        <v>0.66942505675418984</v>
      </c>
      <c r="BN23" s="54">
        <v>24479.514289600076</v>
      </c>
      <c r="BO23" s="54">
        <v>23969.639039500027</v>
      </c>
      <c r="BP23" s="55">
        <v>0.97917134939574091</v>
      </c>
      <c r="BQ23" s="54">
        <v>8177.221799199996</v>
      </c>
      <c r="BR23" s="54">
        <v>7089.5039187000002</v>
      </c>
      <c r="BS23" s="55">
        <v>0.8669819766162622</v>
      </c>
      <c r="BT23" s="54">
        <v>2745.6979359000011</v>
      </c>
      <c r="BU23" s="54">
        <v>2255.3432032999999</v>
      </c>
      <c r="BV23" s="55">
        <v>0.82140980397420527</v>
      </c>
      <c r="BW23" s="54">
        <v>44453.882674500077</v>
      </c>
      <c r="BX23" s="54">
        <v>39373.752687600027</v>
      </c>
      <c r="BY23" s="55">
        <v>0.88572134353037857</v>
      </c>
      <c r="BZ23" s="56">
        <v>6011.6591045000005</v>
      </c>
      <c r="CA23" s="56">
        <v>5195</v>
      </c>
      <c r="CB23" s="57">
        <v>0.8641541227963685</v>
      </c>
      <c r="CC23" s="56">
        <v>54111.460223900001</v>
      </c>
      <c r="CD23" s="56">
        <v>57288</v>
      </c>
      <c r="CE23" s="57">
        <v>1.058703641760105</v>
      </c>
      <c r="CF23" s="56">
        <v>9553.9814432999901</v>
      </c>
      <c r="CG23" s="56">
        <v>8857</v>
      </c>
      <c r="CH23" s="57">
        <v>0.92704806394733275</v>
      </c>
      <c r="CI23" s="56">
        <v>2851.9195849000012</v>
      </c>
      <c r="CJ23" s="56">
        <v>2653.1649205202248</v>
      </c>
      <c r="CK23" s="57">
        <v>0.93030846120903321</v>
      </c>
      <c r="CL23" s="56">
        <v>72529.020356599984</v>
      </c>
      <c r="CM23" s="56">
        <v>73993</v>
      </c>
      <c r="CN23" s="57">
        <v>1.0201847431028592</v>
      </c>
      <c r="CO23" s="58">
        <v>5216.7163767234269</v>
      </c>
      <c r="CP23" s="58">
        <v>6190.0771406587683</v>
      </c>
      <c r="CQ23" s="59">
        <v>1.1865849499271994</v>
      </c>
      <c r="CR23" s="58">
        <v>80781.937811852695</v>
      </c>
      <c r="CS23" s="58">
        <v>79988.193195118292</v>
      </c>
      <c r="CT23" s="59">
        <v>0.99017423153944273</v>
      </c>
      <c r="CU23" s="58">
        <v>10771.98553465949</v>
      </c>
      <c r="CV23" s="58">
        <v>8645.2773662116178</v>
      </c>
      <c r="CW23" s="59">
        <v>0.80257045819407524</v>
      </c>
      <c r="CX23" s="58">
        <v>3243.5363068581419</v>
      </c>
      <c r="CY23" s="58">
        <v>2616.6684244973994</v>
      </c>
      <c r="CZ23" s="59">
        <v>0.80673320010776772</v>
      </c>
      <c r="DA23" s="58">
        <v>100014.17603009375</v>
      </c>
      <c r="DB23" s="58">
        <v>97440.216126486092</v>
      </c>
      <c r="DC23" s="59">
        <v>0.97426404930003963</v>
      </c>
      <c r="DD23" s="58">
        <v>18646.016921800005</v>
      </c>
      <c r="DE23" s="58">
        <v>20933.215258226504</v>
      </c>
      <c r="DF23" s="59">
        <v>1.1226641778787845</v>
      </c>
      <c r="DG23" s="58">
        <v>90023.755543199979</v>
      </c>
      <c r="DH23" s="58">
        <v>87271.549241264074</v>
      </c>
      <c r="DI23" s="59">
        <v>0.96942799947270364</v>
      </c>
      <c r="DJ23" s="58">
        <v>11874.164518599997</v>
      </c>
      <c r="DK23" s="58">
        <v>9761.3915762450833</v>
      </c>
      <c r="DL23" s="59">
        <v>0.82206976002013354</v>
      </c>
      <c r="DM23" s="58">
        <v>5934.9150249999575</v>
      </c>
      <c r="DN23" s="58">
        <v>11343.462947554526</v>
      </c>
      <c r="DO23" s="59">
        <v>1.9113100861211754</v>
      </c>
      <c r="DP23" s="58">
        <v>126478.85200859993</v>
      </c>
      <c r="DQ23" s="58">
        <v>129309.61902329019</v>
      </c>
      <c r="DR23" s="59">
        <v>1.0223813465234313</v>
      </c>
      <c r="DS23" s="58">
        <v>13187.562577299999</v>
      </c>
      <c r="DT23" s="58">
        <v>17612.960753537547</v>
      </c>
      <c r="DU23" s="59">
        <v>1.3355736247921257</v>
      </c>
      <c r="DV23" s="58">
        <v>105655.19792209998</v>
      </c>
      <c r="DW23" s="58">
        <v>139239.17261046264</v>
      </c>
      <c r="DX23" s="59">
        <v>1.3178639134548238</v>
      </c>
      <c r="DY23" s="58">
        <v>12839.636963250325</v>
      </c>
      <c r="DZ23" s="58">
        <v>13555.320054430656</v>
      </c>
      <c r="EA23" s="59">
        <v>1.0557401344935813</v>
      </c>
      <c r="EB23" s="58">
        <v>5684.5659272497041</v>
      </c>
      <c r="EC23" s="58">
        <v>14291.621687316241</v>
      </c>
      <c r="ED23" s="59">
        <v>2.5141095855371294</v>
      </c>
      <c r="EE23" s="58">
        <v>137366.96338989999</v>
      </c>
      <c r="EF23" s="58">
        <v>184699.07510574709</v>
      </c>
      <c r="EG23" s="59">
        <v>1.3445669216804368</v>
      </c>
    </row>
    <row r="24" spans="1:137" x14ac:dyDescent="0.2">
      <c r="A24" s="41">
        <v>15</v>
      </c>
      <c r="B24" s="83" t="s">
        <v>47</v>
      </c>
      <c r="C24" s="43"/>
      <c r="D24" s="43"/>
      <c r="E24" s="77"/>
      <c r="F24" s="43"/>
      <c r="G24" s="43"/>
      <c r="H24" s="77"/>
      <c r="I24" s="43"/>
      <c r="J24" s="43"/>
      <c r="K24" s="77"/>
      <c r="L24" s="43"/>
      <c r="M24" s="43"/>
      <c r="N24" s="77"/>
      <c r="O24" s="43"/>
      <c r="P24" s="43"/>
      <c r="Q24" s="77"/>
      <c r="R24" s="45"/>
      <c r="S24" s="45"/>
      <c r="T24" s="46"/>
      <c r="U24" s="47"/>
      <c r="V24" s="47"/>
      <c r="W24" s="46"/>
      <c r="X24" s="47"/>
      <c r="Y24" s="47"/>
      <c r="Z24" s="46"/>
      <c r="AA24" s="47"/>
      <c r="AB24" s="47"/>
      <c r="AC24" s="46"/>
      <c r="AD24" s="47"/>
      <c r="AE24" s="47"/>
      <c r="AF24" s="46"/>
      <c r="AG24" s="48"/>
      <c r="AH24" s="48"/>
      <c r="AI24" s="49"/>
      <c r="AJ24" s="48"/>
      <c r="AK24" s="48"/>
      <c r="AL24" s="49"/>
      <c r="AM24" s="48"/>
      <c r="AN24" s="48"/>
      <c r="AO24" s="49"/>
      <c r="AP24" s="50"/>
      <c r="AQ24" s="50"/>
      <c r="AR24" s="49"/>
      <c r="AS24" s="48"/>
      <c r="AT24" s="48"/>
      <c r="AU24" s="51"/>
      <c r="AV24" s="48"/>
      <c r="AW24" s="48"/>
      <c r="AX24" s="52"/>
      <c r="AY24" s="48"/>
      <c r="AZ24" s="48"/>
      <c r="BA24" s="52"/>
      <c r="BB24" s="48">
        <v>208.02</v>
      </c>
      <c r="BC24" s="48">
        <v>63.77</v>
      </c>
      <c r="BD24" s="52">
        <v>0.30655706182097875</v>
      </c>
      <c r="BE24" s="53">
        <v>157.46</v>
      </c>
      <c r="BF24" s="53">
        <v>104.24</v>
      </c>
      <c r="BG24" s="52">
        <v>0.66200939921249835</v>
      </c>
      <c r="BH24" s="48">
        <v>365.48</v>
      </c>
      <c r="BI24" s="48">
        <v>168.01</v>
      </c>
      <c r="BJ24" s="52">
        <v>0.45969683703622627</v>
      </c>
      <c r="BK24" s="54"/>
      <c r="BL24" s="54"/>
      <c r="BM24" s="55" t="s">
        <v>36</v>
      </c>
      <c r="BN24" s="54">
        <v>66.033698731777207</v>
      </c>
      <c r="BO24" s="54">
        <v>60.286885999999996</v>
      </c>
      <c r="BP24" s="55">
        <v>0.91297151542093324</v>
      </c>
      <c r="BQ24" s="54">
        <v>693.73796871841023</v>
      </c>
      <c r="BR24" s="54">
        <v>220.12975349999996</v>
      </c>
      <c r="BS24" s="55">
        <v>0.31730965209625295</v>
      </c>
      <c r="BT24" s="54">
        <v>536.44045075335055</v>
      </c>
      <c r="BU24" s="54">
        <v>167.95562050000001</v>
      </c>
      <c r="BV24" s="55">
        <v>0.31309275850494012</v>
      </c>
      <c r="BW24" s="54">
        <v>1296.212118203538</v>
      </c>
      <c r="BX24" s="54">
        <v>448.37225999999998</v>
      </c>
      <c r="BY24" s="55">
        <v>0.34590963446739992</v>
      </c>
      <c r="BZ24" s="56">
        <v>0</v>
      </c>
      <c r="CA24" s="56">
        <v>0</v>
      </c>
      <c r="CB24" s="57" t="s">
        <v>36</v>
      </c>
      <c r="CC24" s="56">
        <v>1789.299637348531</v>
      </c>
      <c r="CD24" s="56">
        <v>788.99117849999993</v>
      </c>
      <c r="CE24" s="57">
        <v>0.44094972246748143</v>
      </c>
      <c r="CF24" s="56">
        <v>2209.4115080839415</v>
      </c>
      <c r="CG24" s="56">
        <v>493.33749849999992</v>
      </c>
      <c r="CH24" s="57">
        <v>0.22328909607601116</v>
      </c>
      <c r="CI24" s="56">
        <v>1774.2041533205247</v>
      </c>
      <c r="CJ24" s="56">
        <v>268.60269599999998</v>
      </c>
      <c r="CK24" s="57">
        <v>0.15139334190898757</v>
      </c>
      <c r="CL24" s="56">
        <v>5772.9152987529969</v>
      </c>
      <c r="CM24" s="56">
        <v>1550.9313729999999</v>
      </c>
      <c r="CN24" s="57">
        <v>0.26865652668332329</v>
      </c>
      <c r="CO24" s="58">
        <v>0</v>
      </c>
      <c r="CP24" s="58">
        <v>0</v>
      </c>
      <c r="CQ24" s="59" t="s">
        <v>36</v>
      </c>
      <c r="CR24" s="58">
        <v>3356.0313202017996</v>
      </c>
      <c r="CS24" s="58">
        <v>1665.771120655</v>
      </c>
      <c r="CT24" s="59">
        <v>0.49635148236782139</v>
      </c>
      <c r="CU24" s="58">
        <v>1807.0110848899201</v>
      </c>
      <c r="CV24" s="58">
        <v>754.0942490000001</v>
      </c>
      <c r="CW24" s="59">
        <v>0.41731578478166237</v>
      </c>
      <c r="CX24" s="58">
        <v>1308.07058753206</v>
      </c>
      <c r="CY24" s="58">
        <v>544.87002050000001</v>
      </c>
      <c r="CZ24" s="59">
        <v>0.41654481470148152</v>
      </c>
      <c r="DA24" s="58">
        <v>6471.11299262378</v>
      </c>
      <c r="DB24" s="58">
        <v>2964.735390155</v>
      </c>
      <c r="DC24" s="59">
        <v>0.45814922309877909</v>
      </c>
      <c r="DD24" s="58">
        <v>0</v>
      </c>
      <c r="DE24" s="58">
        <v>0</v>
      </c>
      <c r="DF24" s="59" t="s">
        <v>36</v>
      </c>
      <c r="DG24" s="58">
        <v>6719.0466292160845</v>
      </c>
      <c r="DH24" s="58">
        <v>3015.1105621450001</v>
      </c>
      <c r="DI24" s="59">
        <v>0.4487408301401794</v>
      </c>
      <c r="DJ24" s="58">
        <v>3039.9377528680147</v>
      </c>
      <c r="DK24" s="58">
        <v>1342.0534194999998</v>
      </c>
      <c r="DL24" s="59">
        <v>0.44147398025957796</v>
      </c>
      <c r="DM24" s="58">
        <v>2485.5840434929883</v>
      </c>
      <c r="DN24" s="58">
        <v>1154.3135264999999</v>
      </c>
      <c r="DO24" s="59">
        <v>0.46440333792851535</v>
      </c>
      <c r="DP24" s="58">
        <v>12244.568425577088</v>
      </c>
      <c r="DQ24" s="58">
        <v>5511.4775081449998</v>
      </c>
      <c r="DR24" s="59">
        <v>0.45011610998329188</v>
      </c>
      <c r="DS24" s="58"/>
      <c r="DT24" s="58"/>
      <c r="DU24" s="59" t="s">
        <v>36</v>
      </c>
      <c r="DV24" s="58">
        <v>9753.0030299999999</v>
      </c>
      <c r="DW24" s="58">
        <v>5565.7020441859941</v>
      </c>
      <c r="DX24" s="59">
        <v>0.57066546858091094</v>
      </c>
      <c r="DY24" s="58">
        <v>3842.8259030577283</v>
      </c>
      <c r="DZ24" s="58">
        <v>2571.0631819000005</v>
      </c>
      <c r="EA24" s="59">
        <v>0.66905533759783675</v>
      </c>
      <c r="EB24" s="58">
        <v>2862.1230917983903</v>
      </c>
      <c r="EC24" s="58">
        <v>3458.5460426300001</v>
      </c>
      <c r="ED24" s="59">
        <v>1.208384800968449</v>
      </c>
      <c r="EE24" s="58">
        <v>16457.952024856117</v>
      </c>
      <c r="EF24" s="58">
        <v>11595.311268715994</v>
      </c>
      <c r="EG24" s="59">
        <v>0.70454156453997596</v>
      </c>
    </row>
    <row r="25" spans="1:137" x14ac:dyDescent="0.2">
      <c r="A25" s="95">
        <v>16</v>
      </c>
      <c r="B25" s="42" t="s">
        <v>48</v>
      </c>
      <c r="C25" s="96"/>
      <c r="D25" s="96"/>
      <c r="E25" s="77"/>
      <c r="F25" s="96">
        <v>40.549999999999997</v>
      </c>
      <c r="G25" s="96">
        <v>16.149999999999999</v>
      </c>
      <c r="H25" s="77">
        <v>0.39827373612823674</v>
      </c>
      <c r="I25" s="96"/>
      <c r="J25" s="96"/>
      <c r="K25" s="77"/>
      <c r="L25" s="96"/>
      <c r="M25" s="96"/>
      <c r="N25" s="77"/>
      <c r="O25" s="96">
        <v>40.549999999999997</v>
      </c>
      <c r="P25" s="96">
        <v>16.149999999999999</v>
      </c>
      <c r="Q25" s="77">
        <v>0.39827373612823674</v>
      </c>
      <c r="R25" s="45"/>
      <c r="S25" s="45"/>
      <c r="T25" s="46"/>
      <c r="U25" s="47">
        <v>2233.5335743999999</v>
      </c>
      <c r="V25" s="47">
        <v>2471.8162459</v>
      </c>
      <c r="W25" s="46">
        <v>1.1066841681858355</v>
      </c>
      <c r="X25" s="90">
        <v>1.3533299999999999</v>
      </c>
      <c r="Y25" s="47">
        <v>0</v>
      </c>
      <c r="Z25" s="46">
        <v>0</v>
      </c>
      <c r="AA25" s="47">
        <v>0.48979119999999993</v>
      </c>
      <c r="AB25" s="47">
        <v>1.2040704</v>
      </c>
      <c r="AC25" s="46">
        <v>2.4583340819516564</v>
      </c>
      <c r="AD25" s="47">
        <v>2235.3766955999999</v>
      </c>
      <c r="AE25" s="47">
        <v>2473.0203163000001</v>
      </c>
      <c r="AF25" s="46">
        <v>1.1063103239681105</v>
      </c>
      <c r="AG25" s="48"/>
      <c r="AH25" s="48"/>
      <c r="AI25" s="49"/>
      <c r="AJ25" s="48">
        <v>5241.8173614999996</v>
      </c>
      <c r="AK25" s="48">
        <v>5536.3236687999997</v>
      </c>
      <c r="AL25" s="49">
        <v>1.0561840077571349</v>
      </c>
      <c r="AM25" s="48">
        <v>49.428883609434038</v>
      </c>
      <c r="AN25" s="48">
        <v>23.775184500000002</v>
      </c>
      <c r="AO25" s="49">
        <v>0.48099780460067382</v>
      </c>
      <c r="AP25" s="50">
        <v>47.612359290565948</v>
      </c>
      <c r="AQ25" s="50">
        <v>55.624084500000002</v>
      </c>
      <c r="AR25" s="49">
        <v>1.1682698637246804</v>
      </c>
      <c r="AS25" s="48">
        <v>5338.8586043999994</v>
      </c>
      <c r="AT25" s="48">
        <v>5615.7229378000002</v>
      </c>
      <c r="AU25" s="51">
        <v>1.0518583378799027</v>
      </c>
      <c r="AV25" s="48"/>
      <c r="AW25" s="48"/>
      <c r="AX25" s="52"/>
      <c r="AY25" s="48">
        <v>5549.67</v>
      </c>
      <c r="AZ25" s="48">
        <v>4670.7049999999999</v>
      </c>
      <c r="BA25" s="52">
        <v>0.84161851065018278</v>
      </c>
      <c r="BB25" s="48">
        <v>201</v>
      </c>
      <c r="BC25" s="48">
        <v>144.15092605765449</v>
      </c>
      <c r="BD25" s="52">
        <v>0.71716878635648995</v>
      </c>
      <c r="BE25" s="53">
        <v>258.52</v>
      </c>
      <c r="BF25" s="53">
        <v>98.30907394234552</v>
      </c>
      <c r="BG25" s="52">
        <v>0.38027647355077182</v>
      </c>
      <c r="BH25" s="48">
        <v>6009.1900000000005</v>
      </c>
      <c r="BI25" s="48">
        <v>4913.165</v>
      </c>
      <c r="BJ25" s="52">
        <v>0.81760852960215924</v>
      </c>
      <c r="BK25" s="54"/>
      <c r="BL25" s="54"/>
      <c r="BM25" s="55" t="s">
        <v>36</v>
      </c>
      <c r="BN25" s="54">
        <v>7618.8529264999988</v>
      </c>
      <c r="BO25" s="54">
        <v>6173.9645387</v>
      </c>
      <c r="BP25" s="55">
        <v>0.81035355299032374</v>
      </c>
      <c r="BQ25" s="54">
        <v>567.91567096152698</v>
      </c>
      <c r="BR25" s="54">
        <v>211.9387395</v>
      </c>
      <c r="BS25" s="55">
        <v>0.37318698943660178</v>
      </c>
      <c r="BT25" s="54">
        <v>466.23827663847288</v>
      </c>
      <c r="BU25" s="54">
        <v>118.4722225</v>
      </c>
      <c r="BV25" s="55">
        <v>0.25410230870397815</v>
      </c>
      <c r="BW25" s="54">
        <v>8653.0068740999995</v>
      </c>
      <c r="BX25" s="54">
        <v>6504.3755007</v>
      </c>
      <c r="BY25" s="55">
        <v>0.75168962596906763</v>
      </c>
      <c r="BZ25" s="56">
        <v>0</v>
      </c>
      <c r="CA25" s="56">
        <v>0</v>
      </c>
      <c r="CB25" s="57" t="s">
        <v>36</v>
      </c>
      <c r="CC25" s="56">
        <v>11790.960627649984</v>
      </c>
      <c r="CD25" s="56">
        <v>10009.80580739178</v>
      </c>
      <c r="CE25" s="57">
        <v>0.84893895616262438</v>
      </c>
      <c r="CF25" s="56">
        <v>1071.7190412056473</v>
      </c>
      <c r="CG25" s="56">
        <v>420.2191802586176</v>
      </c>
      <c r="CH25" s="57">
        <v>0.39209826839120576</v>
      </c>
      <c r="CI25" s="56">
        <v>615.87162450429344</v>
      </c>
      <c r="CJ25" s="56">
        <v>114.61706534960256</v>
      </c>
      <c r="CK25" s="57">
        <v>0.18610544923523023</v>
      </c>
      <c r="CL25" s="56">
        <v>13478.551293359926</v>
      </c>
      <c r="CM25" s="56">
        <v>10544.642053000001</v>
      </c>
      <c r="CN25" s="57">
        <v>0.78232755312469782</v>
      </c>
      <c r="CO25" s="58">
        <v>0</v>
      </c>
      <c r="CP25" s="58">
        <v>0</v>
      </c>
      <c r="CQ25" s="59" t="s">
        <v>36</v>
      </c>
      <c r="CR25" s="58">
        <v>19030.177256699997</v>
      </c>
      <c r="CS25" s="58">
        <v>16754.663357600002</v>
      </c>
      <c r="CT25" s="59">
        <v>0.88042602712495233</v>
      </c>
      <c r="CU25" s="58">
        <v>1460.6273141217971</v>
      </c>
      <c r="CV25" s="58">
        <v>877.78163646700943</v>
      </c>
      <c r="CW25" s="59">
        <v>0.60096208524949846</v>
      </c>
      <c r="CX25" s="58">
        <v>717.1081333780844</v>
      </c>
      <c r="CY25" s="58">
        <v>250.61848494496499</v>
      </c>
      <c r="CZ25" s="59">
        <v>0.34948492881314203</v>
      </c>
      <c r="DA25" s="58">
        <v>21207.91270419988</v>
      </c>
      <c r="DB25" s="58">
        <v>17883.063479011977</v>
      </c>
      <c r="DC25" s="59">
        <v>0.84322600382405988</v>
      </c>
      <c r="DD25" s="58">
        <v>0</v>
      </c>
      <c r="DE25" s="58">
        <v>0</v>
      </c>
      <c r="DF25" s="59" t="s">
        <v>36</v>
      </c>
      <c r="DG25" s="58">
        <v>19141.8126194</v>
      </c>
      <c r="DH25" s="58">
        <v>14418.192893700001</v>
      </c>
      <c r="DI25" s="59">
        <v>0.75323028076700183</v>
      </c>
      <c r="DJ25" s="58">
        <v>2117.7432778143284</v>
      </c>
      <c r="DK25" s="58">
        <v>1354.55303256</v>
      </c>
      <c r="DL25" s="59">
        <v>0.63962098085751051</v>
      </c>
      <c r="DM25" s="58">
        <v>892.59500968567158</v>
      </c>
      <c r="DN25" s="58">
        <v>374.17883813999998</v>
      </c>
      <c r="DO25" s="59">
        <v>0.41920337227940307</v>
      </c>
      <c r="DP25" s="58">
        <v>22152.150906899999</v>
      </c>
      <c r="DQ25" s="58">
        <v>16146.924764400001</v>
      </c>
      <c r="DR25" s="59">
        <v>0.72891002017192486</v>
      </c>
      <c r="DS25" s="58"/>
      <c r="DT25" s="58"/>
      <c r="DU25" s="59" t="s">
        <v>36</v>
      </c>
      <c r="DV25" s="58">
        <v>16559.292292999999</v>
      </c>
      <c r="DW25" s="58">
        <v>15254.123474699998</v>
      </c>
      <c r="DX25" s="59">
        <v>0.92118208947542246</v>
      </c>
      <c r="DY25" s="58">
        <v>2176.2780102366792</v>
      </c>
      <c r="DZ25" s="58">
        <v>2477.9384753100003</v>
      </c>
      <c r="EA25" s="59">
        <v>1.1386130189499615</v>
      </c>
      <c r="EB25" s="58">
        <v>1431.0550640633207</v>
      </c>
      <c r="EC25" s="58">
        <v>733.28989408999951</v>
      </c>
      <c r="ED25" s="59">
        <v>0.51241207449272075</v>
      </c>
      <c r="EE25" s="58">
        <v>20166.625367299996</v>
      </c>
      <c r="EF25" s="58">
        <v>18465.351844099998</v>
      </c>
      <c r="EG25" s="59">
        <v>0.91563915666531903</v>
      </c>
    </row>
    <row r="26" spans="1:137" x14ac:dyDescent="0.2">
      <c r="A26" s="41">
        <v>17</v>
      </c>
      <c r="B26" s="83" t="s">
        <v>49</v>
      </c>
      <c r="C26" s="97"/>
      <c r="D26" s="97"/>
      <c r="E26" s="98"/>
      <c r="F26" s="97"/>
      <c r="G26" s="97"/>
      <c r="H26" s="98"/>
      <c r="I26" s="97"/>
      <c r="J26" s="97"/>
      <c r="K26" s="98"/>
      <c r="L26" s="97"/>
      <c r="M26" s="97"/>
      <c r="N26" s="98"/>
      <c r="O26" s="97"/>
      <c r="P26" s="97"/>
      <c r="Q26" s="98"/>
      <c r="R26" s="45"/>
      <c r="S26" s="45"/>
      <c r="T26" s="46"/>
      <c r="U26" s="93"/>
      <c r="V26" s="93"/>
      <c r="W26" s="46"/>
      <c r="X26" s="93"/>
      <c r="Y26" s="93"/>
      <c r="Z26" s="46"/>
      <c r="AA26" s="99">
        <v>1.43E-2</v>
      </c>
      <c r="AB26" s="93">
        <v>0</v>
      </c>
      <c r="AC26" s="46">
        <v>0</v>
      </c>
      <c r="AD26" s="99">
        <v>1.43E-2</v>
      </c>
      <c r="AE26" s="93">
        <v>0</v>
      </c>
      <c r="AF26" s="46">
        <v>0</v>
      </c>
      <c r="AG26" s="48"/>
      <c r="AH26" s="48"/>
      <c r="AI26" s="49"/>
      <c r="AJ26" s="48"/>
      <c r="AK26" s="48"/>
      <c r="AL26" s="49"/>
      <c r="AM26" s="48"/>
      <c r="AN26" s="48"/>
      <c r="AO26" s="49"/>
      <c r="AP26" s="50"/>
      <c r="AQ26" s="50"/>
      <c r="AR26" s="49"/>
      <c r="AS26" s="48"/>
      <c r="AT26" s="48"/>
      <c r="AU26" s="51"/>
      <c r="AV26" s="48"/>
      <c r="AW26" s="48"/>
      <c r="AX26" s="52"/>
      <c r="AY26" s="48"/>
      <c r="AZ26" s="48"/>
      <c r="BA26" s="52"/>
      <c r="BB26" s="48"/>
      <c r="BC26" s="48"/>
      <c r="BD26" s="52"/>
      <c r="BE26" s="53"/>
      <c r="BF26" s="53"/>
      <c r="BG26" s="52"/>
      <c r="BH26" s="48">
        <v>0</v>
      </c>
      <c r="BI26" s="48">
        <v>0</v>
      </c>
      <c r="BJ26" s="52">
        <v>0</v>
      </c>
      <c r="BK26" s="54"/>
      <c r="BL26" s="54"/>
      <c r="BM26" s="55" t="s">
        <v>36</v>
      </c>
      <c r="BN26" s="54">
        <v>12.325007078467962</v>
      </c>
      <c r="BO26" s="54"/>
      <c r="BP26" s="55">
        <v>0</v>
      </c>
      <c r="BQ26" s="54">
        <v>8.8241200000000006</v>
      </c>
      <c r="BR26" s="88">
        <v>0.16070999999999999</v>
      </c>
      <c r="BS26" s="55">
        <v>1.8212580971246988E-2</v>
      </c>
      <c r="BT26" s="54">
        <v>72.045929999999998</v>
      </c>
      <c r="BU26" s="54">
        <v>45.346520739267405</v>
      </c>
      <c r="BV26" s="55">
        <v>0.62941127610216707</v>
      </c>
      <c r="BW26" s="54">
        <v>93.195057078467954</v>
      </c>
      <c r="BX26" s="54">
        <v>45.507230739267406</v>
      </c>
      <c r="BY26" s="55">
        <v>0.48830090528247044</v>
      </c>
      <c r="BZ26" s="56">
        <v>0</v>
      </c>
      <c r="CA26" s="56">
        <v>0</v>
      </c>
      <c r="CB26" s="57" t="s">
        <v>36</v>
      </c>
      <c r="CC26" s="56">
        <v>4666.917621310673</v>
      </c>
      <c r="CD26" s="56">
        <v>3267.7075361861966</v>
      </c>
      <c r="CE26" s="57">
        <v>0.70018539030232174</v>
      </c>
      <c r="CF26" s="56">
        <v>201.66856417222553</v>
      </c>
      <c r="CG26" s="56">
        <v>47.956551032606868</v>
      </c>
      <c r="CH26" s="57">
        <v>0.23779884202305243</v>
      </c>
      <c r="CI26" s="56">
        <v>40.826148974435355</v>
      </c>
      <c r="CJ26" s="56">
        <v>29.931711992393133</v>
      </c>
      <c r="CK26" s="57">
        <v>0.73315051123572461</v>
      </c>
      <c r="CL26" s="56">
        <v>4909.4123344573336</v>
      </c>
      <c r="CM26" s="56">
        <v>3345.5957992111967</v>
      </c>
      <c r="CN26" s="57">
        <v>0.68146563606599264</v>
      </c>
      <c r="CO26" s="58">
        <v>0</v>
      </c>
      <c r="CP26" s="58">
        <v>0</v>
      </c>
      <c r="CQ26" s="59" t="s">
        <v>36</v>
      </c>
      <c r="CR26" s="58">
        <v>2304.2219707347745</v>
      </c>
      <c r="CS26" s="58">
        <v>2106.684004832955</v>
      </c>
      <c r="CT26" s="59">
        <v>0.91427129486191461</v>
      </c>
      <c r="CU26" s="58">
        <v>294.82029099999966</v>
      </c>
      <c r="CV26" s="58">
        <v>71.832152970972473</v>
      </c>
      <c r="CW26" s="59">
        <v>0.24364724940513866</v>
      </c>
      <c r="CX26" s="58">
        <v>269.6143105675593</v>
      </c>
      <c r="CY26" s="58">
        <v>51.483984070145901</v>
      </c>
      <c r="CZ26" s="59">
        <v>0.19095419661429719</v>
      </c>
      <c r="DA26" s="58">
        <v>2868.6565723023332</v>
      </c>
      <c r="DB26" s="58">
        <v>2230.0001418740735</v>
      </c>
      <c r="DC26" s="59">
        <v>0.77736741421240074</v>
      </c>
      <c r="DD26" s="58">
        <v>0</v>
      </c>
      <c r="DE26" s="58">
        <v>0</v>
      </c>
      <c r="DF26" s="59" t="s">
        <v>36</v>
      </c>
      <c r="DG26" s="58">
        <v>2828.0445986679961</v>
      </c>
      <c r="DH26" s="58">
        <v>1871.6179429882814</v>
      </c>
      <c r="DI26" s="59">
        <v>0.66180637457761804</v>
      </c>
      <c r="DJ26" s="58">
        <v>976.24735004856348</v>
      </c>
      <c r="DK26" s="58">
        <v>403.31242287142726</v>
      </c>
      <c r="DL26" s="59">
        <v>0.41312524213393714</v>
      </c>
      <c r="DM26" s="58">
        <v>1075.6444627402389</v>
      </c>
      <c r="DN26" s="58">
        <v>222.71376385402755</v>
      </c>
      <c r="DO26" s="59">
        <v>0.20705146688214904</v>
      </c>
      <c r="DP26" s="58">
        <v>4879.9364114567979</v>
      </c>
      <c r="DQ26" s="58">
        <v>2497.6441297137362</v>
      </c>
      <c r="DR26" s="59">
        <v>0.51181899088888316</v>
      </c>
      <c r="DS26" s="58"/>
      <c r="DT26" s="58"/>
      <c r="DU26" s="59" t="s">
        <v>36</v>
      </c>
      <c r="DV26" s="58">
        <v>5487.5389262054523</v>
      </c>
      <c r="DW26" s="58">
        <v>3952.9061144886105</v>
      </c>
      <c r="DX26" s="59">
        <v>0.72034224588580431</v>
      </c>
      <c r="DY26" s="58">
        <v>1590.899337046372</v>
      </c>
      <c r="DZ26" s="58">
        <v>1158.9253448662323</v>
      </c>
      <c r="EA26" s="59">
        <v>0.7284718258905476</v>
      </c>
      <c r="EB26" s="58">
        <v>1087.1282842714311</v>
      </c>
      <c r="EC26" s="58">
        <v>476.4732387466787</v>
      </c>
      <c r="ED26" s="59">
        <v>0.43828612100364983</v>
      </c>
      <c r="EE26" s="58">
        <v>8165.5665475232554</v>
      </c>
      <c r="EF26" s="58">
        <v>5588.3046981015214</v>
      </c>
      <c r="EG26" s="59">
        <v>0.68437439895662133</v>
      </c>
    </row>
    <row r="27" spans="1:137" x14ac:dyDescent="0.2">
      <c r="A27" s="95">
        <v>18</v>
      </c>
      <c r="B27" s="42" t="s">
        <v>50</v>
      </c>
      <c r="C27" s="76"/>
      <c r="D27" s="76"/>
      <c r="E27" s="77"/>
      <c r="F27" s="76"/>
      <c r="G27" s="76"/>
      <c r="H27" s="77"/>
      <c r="I27" s="76"/>
      <c r="J27" s="76"/>
      <c r="K27" s="77"/>
      <c r="L27" s="76"/>
      <c r="M27" s="76"/>
      <c r="N27" s="77"/>
      <c r="O27" s="76"/>
      <c r="P27" s="76"/>
      <c r="Q27" s="77"/>
      <c r="R27" s="45"/>
      <c r="S27" s="45"/>
      <c r="T27" s="46"/>
      <c r="U27" s="45"/>
      <c r="V27" s="45"/>
      <c r="W27" s="46"/>
      <c r="X27" s="45"/>
      <c r="Y27" s="45"/>
      <c r="Z27" s="46"/>
      <c r="AA27" s="45"/>
      <c r="AB27" s="45"/>
      <c r="AC27" s="46"/>
      <c r="AD27" s="45"/>
      <c r="AE27" s="45"/>
      <c r="AF27" s="46"/>
      <c r="AG27" s="48"/>
      <c r="AH27" s="48"/>
      <c r="AI27" s="49"/>
      <c r="AJ27" s="48"/>
      <c r="AK27" s="48"/>
      <c r="AL27" s="49"/>
      <c r="AM27" s="48"/>
      <c r="AN27" s="48"/>
      <c r="AO27" s="49"/>
      <c r="AP27" s="50"/>
      <c r="AQ27" s="50"/>
      <c r="AR27" s="49"/>
      <c r="AS27" s="48"/>
      <c r="AT27" s="48"/>
      <c r="AU27" s="51"/>
      <c r="AV27" s="87"/>
      <c r="AW27" s="87"/>
      <c r="AX27" s="52"/>
      <c r="AY27" s="48"/>
      <c r="AZ27" s="48"/>
      <c r="BA27" s="52"/>
      <c r="BB27" s="48"/>
      <c r="BC27" s="48"/>
      <c r="BD27" s="52"/>
      <c r="BE27" s="53"/>
      <c r="BF27" s="53"/>
      <c r="BG27" s="52"/>
      <c r="BH27" s="48"/>
      <c r="BI27" s="48"/>
      <c r="BJ27" s="52"/>
      <c r="BK27" s="54"/>
      <c r="BL27" s="54"/>
      <c r="BM27" s="55" t="s">
        <v>36</v>
      </c>
      <c r="BN27" s="54">
        <v>1409.7931455324285</v>
      </c>
      <c r="BO27" s="54">
        <v>7.7720069999999923</v>
      </c>
      <c r="BP27" s="55">
        <v>5.5128704694225074E-3</v>
      </c>
      <c r="BQ27" s="54"/>
      <c r="BR27" s="54"/>
      <c r="BS27" s="55" t="s">
        <v>36</v>
      </c>
      <c r="BT27" s="54"/>
      <c r="BU27" s="54"/>
      <c r="BV27" s="55" t="s">
        <v>36</v>
      </c>
      <c r="BW27" s="54">
        <v>1409.7931455324285</v>
      </c>
      <c r="BX27" s="54">
        <v>7.7720069999999923</v>
      </c>
      <c r="BY27" s="55">
        <v>5.5128704694225074E-3</v>
      </c>
      <c r="BZ27" s="56">
        <v>0</v>
      </c>
      <c r="CA27" s="56">
        <v>0</v>
      </c>
      <c r="CB27" s="57" t="s">
        <v>36</v>
      </c>
      <c r="CC27" s="56">
        <v>3960.8552963000011</v>
      </c>
      <c r="CD27" s="56">
        <v>1947.8085763999998</v>
      </c>
      <c r="CE27" s="57">
        <v>0.49176463937461395</v>
      </c>
      <c r="CF27" s="56">
        <v>0</v>
      </c>
      <c r="CG27" s="56">
        <v>0</v>
      </c>
      <c r="CH27" s="57" t="s">
        <v>36</v>
      </c>
      <c r="CI27" s="56">
        <v>2.2220500000000001E-2</v>
      </c>
      <c r="CJ27" s="56">
        <v>0</v>
      </c>
      <c r="CK27" s="57">
        <v>0</v>
      </c>
      <c r="CL27" s="56">
        <v>3960.8775168000011</v>
      </c>
      <c r="CM27" s="56">
        <v>1947.8085763999998</v>
      </c>
      <c r="CN27" s="57">
        <v>0.49176188057782644</v>
      </c>
      <c r="CO27" s="58">
        <v>0</v>
      </c>
      <c r="CP27" s="58">
        <v>0</v>
      </c>
      <c r="CQ27" s="59" t="s">
        <v>36</v>
      </c>
      <c r="CR27" s="58">
        <v>3817.6907157999999</v>
      </c>
      <c r="CS27" s="58">
        <v>1339.7093596999998</v>
      </c>
      <c r="CT27" s="59">
        <v>0.3509213971041294</v>
      </c>
      <c r="CU27" s="100">
        <v>0.62778030000000007</v>
      </c>
      <c r="CV27" s="100">
        <v>0.19038230000000003</v>
      </c>
      <c r="CW27" s="59">
        <v>0.3032626222899954</v>
      </c>
      <c r="CX27" s="58">
        <v>1.8656333000000003</v>
      </c>
      <c r="CY27" s="58">
        <v>2.6564416000000004</v>
      </c>
      <c r="CZ27" s="59">
        <v>1.423881960082938</v>
      </c>
      <c r="DA27" s="58">
        <v>3820.1841293999996</v>
      </c>
      <c r="DB27" s="58">
        <v>1342.5561835999999</v>
      </c>
      <c r="DC27" s="59">
        <v>0.35143755853748931</v>
      </c>
      <c r="DD27" s="58">
        <v>0</v>
      </c>
      <c r="DE27" s="58">
        <v>0</v>
      </c>
      <c r="DF27" s="59" t="s">
        <v>36</v>
      </c>
      <c r="DG27" s="58">
        <v>2480.2812313000004</v>
      </c>
      <c r="DH27" s="58">
        <v>526.40018299999997</v>
      </c>
      <c r="DI27" s="59">
        <v>0.21223407102270236</v>
      </c>
      <c r="DJ27" s="100">
        <v>5.4302418999999995</v>
      </c>
      <c r="DK27" s="100">
        <v>22.338173999999999</v>
      </c>
      <c r="DL27" s="59">
        <v>4.1136609402244124</v>
      </c>
      <c r="DM27" s="58">
        <v>3.1048159999999996</v>
      </c>
      <c r="DN27" s="58">
        <v>0.39356409999999997</v>
      </c>
      <c r="DO27" s="59">
        <v>0.12675923468572695</v>
      </c>
      <c r="DP27" s="58">
        <v>2488.8162892000005</v>
      </c>
      <c r="DQ27" s="58">
        <v>549.1319211</v>
      </c>
      <c r="DR27" s="59">
        <v>0.22063979711275183</v>
      </c>
      <c r="DS27" s="58"/>
      <c r="DT27" s="58"/>
      <c r="DU27" s="59" t="s">
        <v>36</v>
      </c>
      <c r="DV27" s="58">
        <v>2272.8676360000013</v>
      </c>
      <c r="DW27" s="58">
        <v>188.47062933656875</v>
      </c>
      <c r="DX27" s="59">
        <v>8.2921955661376071E-2</v>
      </c>
      <c r="DY27" s="100">
        <v>735.26852911793833</v>
      </c>
      <c r="DZ27" s="100">
        <v>441.38780907272667</v>
      </c>
      <c r="EA27" s="59">
        <v>0.60030831130802731</v>
      </c>
      <c r="EB27" s="58">
        <v>302.95321368206135</v>
      </c>
      <c r="EC27" s="58">
        <v>368.87660423716733</v>
      </c>
      <c r="ED27" s="59">
        <v>1.2176025457986732</v>
      </c>
      <c r="EE27" s="58">
        <v>3311.0893788000008</v>
      </c>
      <c r="EF27" s="58">
        <v>998.73504264646272</v>
      </c>
      <c r="EG27" s="59">
        <v>0.30163336847416139</v>
      </c>
    </row>
    <row r="28" spans="1:137" x14ac:dyDescent="0.2">
      <c r="A28" s="41">
        <v>19</v>
      </c>
      <c r="B28" s="83" t="s">
        <v>51</v>
      </c>
      <c r="C28" s="97"/>
      <c r="D28" s="97"/>
      <c r="E28" s="98"/>
      <c r="F28" s="97"/>
      <c r="G28" s="97"/>
      <c r="H28" s="98"/>
      <c r="I28" s="97"/>
      <c r="J28" s="97"/>
      <c r="K28" s="98"/>
      <c r="L28" s="97">
        <v>1.54</v>
      </c>
      <c r="M28" s="97">
        <v>0</v>
      </c>
      <c r="N28" s="98">
        <v>0</v>
      </c>
      <c r="O28" s="97">
        <v>1.54</v>
      </c>
      <c r="P28" s="97">
        <v>0</v>
      </c>
      <c r="Q28" s="98">
        <v>0</v>
      </c>
      <c r="R28" s="45"/>
      <c r="S28" s="45"/>
      <c r="T28" s="46"/>
      <c r="U28" s="47"/>
      <c r="V28" s="47"/>
      <c r="W28" s="46"/>
      <c r="X28" s="47"/>
      <c r="Y28" s="47"/>
      <c r="Z28" s="46"/>
      <c r="AA28" s="47">
        <v>1.79009</v>
      </c>
      <c r="AB28" s="47">
        <v>0</v>
      </c>
      <c r="AC28" s="46">
        <v>0</v>
      </c>
      <c r="AD28" s="93">
        <v>1.79009</v>
      </c>
      <c r="AE28" s="93">
        <v>0</v>
      </c>
      <c r="AF28" s="46">
        <v>0</v>
      </c>
      <c r="AG28" s="48"/>
      <c r="AH28" s="48"/>
      <c r="AI28" s="49"/>
      <c r="AJ28" s="48"/>
      <c r="AK28" s="48"/>
      <c r="AL28" s="49"/>
      <c r="AM28" s="48"/>
      <c r="AN28" s="48"/>
      <c r="AO28" s="49"/>
      <c r="AP28" s="50">
        <v>1.4094621999999999</v>
      </c>
      <c r="AQ28" s="50">
        <v>0.80841000000000063</v>
      </c>
      <c r="AR28" s="49">
        <v>0.57355919158385427</v>
      </c>
      <c r="AS28" s="48">
        <v>1.4094621999999999</v>
      </c>
      <c r="AT28" s="48">
        <v>0.80841000000000063</v>
      </c>
      <c r="AU28" s="51">
        <v>0.57355919158385427</v>
      </c>
      <c r="AV28" s="48"/>
      <c r="AW28" s="48"/>
      <c r="AX28" s="52"/>
      <c r="AY28" s="48"/>
      <c r="AZ28" s="48"/>
      <c r="BA28" s="52"/>
      <c r="BB28" s="87"/>
      <c r="BC28" s="87"/>
      <c r="BD28" s="101"/>
      <c r="BE28" s="53">
        <v>1.6990400000000001</v>
      </c>
      <c r="BF28" s="102">
        <v>0</v>
      </c>
      <c r="BG28" s="52">
        <v>0</v>
      </c>
      <c r="BH28" s="48">
        <v>1.7978700000000001</v>
      </c>
      <c r="BI28" s="91">
        <v>0</v>
      </c>
      <c r="BJ28" s="52">
        <v>0</v>
      </c>
      <c r="BK28" s="54"/>
      <c r="BL28" s="54"/>
      <c r="BM28" s="55" t="s">
        <v>36</v>
      </c>
      <c r="BN28" s="54"/>
      <c r="BO28" s="54"/>
      <c r="BP28" s="55" t="s">
        <v>36</v>
      </c>
      <c r="BQ28" s="54">
        <v>1.5336000000000001</v>
      </c>
      <c r="BR28" s="54"/>
      <c r="BS28" s="55">
        <v>0</v>
      </c>
      <c r="BT28" s="54">
        <v>2.5012500000000002</v>
      </c>
      <c r="BU28" s="54"/>
      <c r="BV28" s="55">
        <v>0</v>
      </c>
      <c r="BW28" s="54">
        <v>4.0348500000000005</v>
      </c>
      <c r="BX28" s="103"/>
      <c r="BY28" s="55">
        <v>0</v>
      </c>
      <c r="BZ28" s="56">
        <v>0</v>
      </c>
      <c r="CA28" s="56">
        <v>0</v>
      </c>
      <c r="CB28" s="57" t="s">
        <v>36</v>
      </c>
      <c r="CC28" s="56">
        <v>0</v>
      </c>
      <c r="CD28" s="56">
        <v>0</v>
      </c>
      <c r="CE28" s="57" t="s">
        <v>36</v>
      </c>
      <c r="CF28" s="56">
        <v>4.099142946106757</v>
      </c>
      <c r="CG28" s="56">
        <v>0</v>
      </c>
      <c r="CH28" s="57">
        <v>0</v>
      </c>
      <c r="CI28" s="56">
        <v>4.1660755538932417</v>
      </c>
      <c r="CJ28" s="56">
        <v>0</v>
      </c>
      <c r="CK28" s="57">
        <v>0</v>
      </c>
      <c r="CL28" s="56">
        <v>8.2652184999999996</v>
      </c>
      <c r="CM28" s="56">
        <v>0</v>
      </c>
      <c r="CN28" s="57">
        <v>0</v>
      </c>
      <c r="CO28" s="58">
        <v>0</v>
      </c>
      <c r="CP28" s="58">
        <v>0</v>
      </c>
      <c r="CQ28" s="59" t="s">
        <v>36</v>
      </c>
      <c r="CR28" s="58">
        <v>0</v>
      </c>
      <c r="CS28" s="58">
        <v>0</v>
      </c>
      <c r="CT28" s="59" t="s">
        <v>36</v>
      </c>
      <c r="CU28" s="58">
        <v>12.28238</v>
      </c>
      <c r="CV28" s="58">
        <v>0</v>
      </c>
      <c r="CW28" s="59">
        <v>0</v>
      </c>
      <c r="CX28" s="58">
        <v>10.28158</v>
      </c>
      <c r="CY28" s="58">
        <v>16.392119999999998</v>
      </c>
      <c r="CZ28" s="59">
        <v>1.5943191610627938</v>
      </c>
      <c r="DA28" s="58">
        <v>22.563960000000002</v>
      </c>
      <c r="DB28" s="58">
        <v>16.392119999999998</v>
      </c>
      <c r="DC28" s="59">
        <v>0.72647354453739488</v>
      </c>
      <c r="DD28" s="58">
        <v>0</v>
      </c>
      <c r="DE28" s="58">
        <v>0</v>
      </c>
      <c r="DF28" s="59" t="s">
        <v>36</v>
      </c>
      <c r="DG28" s="58">
        <v>170.50799337034573</v>
      </c>
      <c r="DH28" s="58">
        <v>234.22365943415693</v>
      </c>
      <c r="DI28" s="59">
        <v>1.3736814022872224</v>
      </c>
      <c r="DJ28" s="58">
        <v>230.65766228527852</v>
      </c>
      <c r="DK28" s="58">
        <v>24.297375113289384</v>
      </c>
      <c r="DL28" s="59">
        <v>0.10533955331272833</v>
      </c>
      <c r="DM28" s="58">
        <v>754.85220554437592</v>
      </c>
      <c r="DN28" s="58">
        <v>874.41062635255378</v>
      </c>
      <c r="DO28" s="59">
        <v>1.1583865290847974</v>
      </c>
      <c r="DP28" s="58">
        <v>1156.0178612000002</v>
      </c>
      <c r="DQ28" s="58">
        <v>1132.9316609000002</v>
      </c>
      <c r="DR28" s="59">
        <v>0.98002954705558321</v>
      </c>
      <c r="DS28" s="58"/>
      <c r="DT28" s="58"/>
      <c r="DU28" s="59" t="s">
        <v>36</v>
      </c>
      <c r="DV28" s="58">
        <v>258.92829969999997</v>
      </c>
      <c r="DW28" s="58">
        <v>329.70325026402435</v>
      </c>
      <c r="DX28" s="59">
        <v>1.2733380269596866</v>
      </c>
      <c r="DY28" s="58">
        <v>238.69133694499757</v>
      </c>
      <c r="DZ28" s="58">
        <v>662.48468977415007</v>
      </c>
      <c r="EA28" s="59">
        <v>2.7754869458325109</v>
      </c>
      <c r="EB28" s="58">
        <v>449.43864795500235</v>
      </c>
      <c r="EC28" s="58">
        <v>40.562550971908884</v>
      </c>
      <c r="ED28" s="59">
        <v>9.0251586410009826E-2</v>
      </c>
      <c r="EE28" s="58">
        <v>947.05828459999987</v>
      </c>
      <c r="EF28" s="58">
        <v>1032.7504910100834</v>
      </c>
      <c r="EG28" s="59">
        <v>1.0904825054629836</v>
      </c>
    </row>
    <row r="29" spans="1:137" x14ac:dyDescent="0.2">
      <c r="A29" s="95">
        <v>20</v>
      </c>
      <c r="B29" s="42" t="s">
        <v>52</v>
      </c>
      <c r="C29" s="43">
        <v>13078.041868330783</v>
      </c>
      <c r="D29" s="43">
        <v>12040.976280751256</v>
      </c>
      <c r="E29" s="44">
        <v>0.92070176881060151</v>
      </c>
      <c r="F29" s="43">
        <v>13325.817882581081</v>
      </c>
      <c r="G29" s="43">
        <v>14218.652546739031</v>
      </c>
      <c r="H29" s="44">
        <v>1.0670003651577007</v>
      </c>
      <c r="I29" s="43">
        <v>4452.0609970835676</v>
      </c>
      <c r="J29" s="43">
        <v>4874.814373992489</v>
      </c>
      <c r="K29" s="44">
        <v>1.0949567800589113</v>
      </c>
      <c r="L29" s="43">
        <v>1660.2552656841594</v>
      </c>
      <c r="M29" s="43">
        <v>2343.5939319993936</v>
      </c>
      <c r="N29" s="44">
        <v>1.4115865074721767</v>
      </c>
      <c r="O29" s="43">
        <v>32516.176013679589</v>
      </c>
      <c r="P29" s="43">
        <v>33478.037133482168</v>
      </c>
      <c r="Q29" s="44">
        <v>1.0295810036025739</v>
      </c>
      <c r="R29" s="45">
        <v>20462.527710419919</v>
      </c>
      <c r="S29" s="45">
        <v>20879.753703774593</v>
      </c>
      <c r="T29" s="46">
        <v>1.0203897582575887</v>
      </c>
      <c r="U29" s="45">
        <v>13863.953663575936</v>
      </c>
      <c r="V29" s="45">
        <v>15651.238928846969</v>
      </c>
      <c r="W29" s="46">
        <v>1.1289159866399927</v>
      </c>
      <c r="X29" s="45">
        <v>2920.4028302344145</v>
      </c>
      <c r="Y29" s="45">
        <v>4996.9519364687048</v>
      </c>
      <c r="Z29" s="46">
        <v>1.1884111632111005</v>
      </c>
      <c r="AA29" s="45">
        <v>1389.8153418219708</v>
      </c>
      <c r="AB29" s="45">
        <v>2163.4794993735072</v>
      </c>
      <c r="AC29" s="46">
        <v>1.3500229594929014</v>
      </c>
      <c r="AD29" s="47">
        <v>38636.699546052238</v>
      </c>
      <c r="AE29" s="47">
        <v>43691.424068463777</v>
      </c>
      <c r="AF29" s="46">
        <v>1.0886450426082162</v>
      </c>
      <c r="AG29" s="48">
        <v>24931.453260959774</v>
      </c>
      <c r="AH29" s="48">
        <v>21055.732752055537</v>
      </c>
      <c r="AI29" s="49">
        <v>0.84454494215252041</v>
      </c>
      <c r="AJ29" s="48">
        <v>16883.351050630165</v>
      </c>
      <c r="AK29" s="48">
        <v>20023.982450241823</v>
      </c>
      <c r="AL29" s="49">
        <v>1.1860194335942826</v>
      </c>
      <c r="AM29" s="48">
        <v>4605.2469110074762</v>
      </c>
      <c r="AN29" s="48">
        <v>6366.9663106910884</v>
      </c>
      <c r="AO29" s="49">
        <v>1.3825461335140889</v>
      </c>
      <c r="AP29" s="50">
        <v>1499.2046812546437</v>
      </c>
      <c r="AQ29" s="50">
        <v>373.82154237546041</v>
      </c>
      <c r="AR29" s="49">
        <v>0.2493465682501867</v>
      </c>
      <c r="AS29" s="48">
        <v>47919.255903852056</v>
      </c>
      <c r="AT29" s="48">
        <v>47820.503055363908</v>
      </c>
      <c r="AU29" s="51">
        <v>0.99793918234694023</v>
      </c>
      <c r="AV29" s="48">
        <v>3074.8628230759386</v>
      </c>
      <c r="AW29" s="48">
        <v>2665.892393199998</v>
      </c>
      <c r="AX29" s="52">
        <v>0.86699555284003627</v>
      </c>
      <c r="AY29" s="48">
        <v>17053.588809877412</v>
      </c>
      <c r="AZ29" s="48">
        <v>17265.749945107786</v>
      </c>
      <c r="BA29" s="52">
        <v>1.0124408497000636</v>
      </c>
      <c r="BB29" s="48">
        <v>5146.9439491766598</v>
      </c>
      <c r="BC29" s="48">
        <v>4847.8648211298205</v>
      </c>
      <c r="BD29" s="52">
        <v>0.94189190109702248</v>
      </c>
      <c r="BE29" s="53">
        <v>1289.177675373734</v>
      </c>
      <c r="BF29" s="53">
        <v>1325.378115170178</v>
      </c>
      <c r="BG29" s="52">
        <v>1.0280802564983522</v>
      </c>
      <c r="BH29" s="48">
        <v>26564.573257503747</v>
      </c>
      <c r="BI29" s="48">
        <v>26104.885274607783</v>
      </c>
      <c r="BJ29" s="52">
        <v>0.98269545012298987</v>
      </c>
      <c r="BK29" s="54">
        <v>28762.960993651141</v>
      </c>
      <c r="BL29" s="54">
        <v>34419.550890645325</v>
      </c>
      <c r="BM29" s="55">
        <v>1.1966622941999179</v>
      </c>
      <c r="BN29" s="54">
        <v>23266.765051821527</v>
      </c>
      <c r="BO29" s="54">
        <v>25668.415075079261</v>
      </c>
      <c r="BP29" s="55">
        <v>1.1032223438844462</v>
      </c>
      <c r="BQ29" s="54">
        <v>4890.7090872423278</v>
      </c>
      <c r="BR29" s="54">
        <v>5382.1434979909454</v>
      </c>
      <c r="BS29" s="55">
        <v>1.1004832636704052</v>
      </c>
      <c r="BT29" s="54">
        <v>1821.052897467202</v>
      </c>
      <c r="BU29" s="54">
        <v>1719.4953665265853</v>
      </c>
      <c r="BV29" s="55">
        <v>0.94423142178798469</v>
      </c>
      <c r="BW29" s="54">
        <v>58741.488030182198</v>
      </c>
      <c r="BX29" s="54">
        <v>67189.604830242111</v>
      </c>
      <c r="BY29" s="55">
        <v>1.1438185698618863</v>
      </c>
      <c r="BZ29" s="56">
        <v>28276.016127596809</v>
      </c>
      <c r="CA29" s="56">
        <v>29632.177401071662</v>
      </c>
      <c r="CB29" s="57">
        <v>1.0479615398207127</v>
      </c>
      <c r="CC29" s="56">
        <v>44658.928172994434</v>
      </c>
      <c r="CD29" s="56">
        <v>41915.765199021786</v>
      </c>
      <c r="CE29" s="57">
        <v>0.93857526174057493</v>
      </c>
      <c r="CF29" s="56">
        <v>5724.666463865331</v>
      </c>
      <c r="CG29" s="56">
        <v>5727.266907295656</v>
      </c>
      <c r="CH29" s="57">
        <v>1.000454252391251</v>
      </c>
      <c r="CI29" s="56">
        <v>2050.6122421421292</v>
      </c>
      <c r="CJ29" s="56">
        <v>1766.7014671397742</v>
      </c>
      <c r="CK29" s="57">
        <v>0.86154828827815177</v>
      </c>
      <c r="CL29" s="56">
        <v>80710.22300659871</v>
      </c>
      <c r="CM29" s="56">
        <v>79041.910974528888</v>
      </c>
      <c r="CN29" s="57">
        <v>0.97932960695780236</v>
      </c>
      <c r="CO29" s="58">
        <v>61520.982116403218</v>
      </c>
      <c r="CP29" s="58">
        <v>59654.262006065313</v>
      </c>
      <c r="CQ29" s="59">
        <v>0.96965717961384457</v>
      </c>
      <c r="CR29" s="58">
        <v>41468.183715793712</v>
      </c>
      <c r="CS29" s="58">
        <v>37823.99473146216</v>
      </c>
      <c r="CT29" s="59">
        <v>0.91212084403533655</v>
      </c>
      <c r="CU29" s="58">
        <v>6467.5834230778146</v>
      </c>
      <c r="CV29" s="58">
        <v>6120.7965965118756</v>
      </c>
      <c r="CW29" s="59">
        <v>0.94638077255740927</v>
      </c>
      <c r="CX29" s="58">
        <v>2384.1265731793715</v>
      </c>
      <c r="CY29" s="58">
        <v>1989.8978438024092</v>
      </c>
      <c r="CZ29" s="59">
        <v>0.83464437928258339</v>
      </c>
      <c r="DA29" s="58">
        <v>111840.87582845411</v>
      </c>
      <c r="DB29" s="58">
        <v>105588.95117784175</v>
      </c>
      <c r="DC29" s="59">
        <v>0.94409982393018987</v>
      </c>
      <c r="DD29" s="58">
        <v>15111.652162725248</v>
      </c>
      <c r="DE29" s="58">
        <v>9629.8595944809513</v>
      </c>
      <c r="DF29" s="59">
        <v>0.63724730365579663</v>
      </c>
      <c r="DG29" s="58">
        <v>37647.774247374153</v>
      </c>
      <c r="DH29" s="58">
        <v>44361.600896037904</v>
      </c>
      <c r="DI29" s="59">
        <v>1.1783326314206217</v>
      </c>
      <c r="DJ29" s="58">
        <v>7739.8721755872511</v>
      </c>
      <c r="DK29" s="58">
        <v>7491.5257264990796</v>
      </c>
      <c r="DL29" s="59">
        <v>0.96791336556287133</v>
      </c>
      <c r="DM29" s="58">
        <v>3541.9284296157139</v>
      </c>
      <c r="DN29" s="58">
        <v>2808.7913251871055</v>
      </c>
      <c r="DO29" s="59">
        <v>0.79301188067536676</v>
      </c>
      <c r="DP29" s="58">
        <v>64041.227015302371</v>
      </c>
      <c r="DQ29" s="58">
        <v>64291.77754220504</v>
      </c>
      <c r="DR29" s="59">
        <v>1.0039123317678282</v>
      </c>
      <c r="DS29" s="58">
        <v>12698.285158161654</v>
      </c>
      <c r="DT29" s="58">
        <v>7009.0916469987787</v>
      </c>
      <c r="DU29" s="59">
        <v>0.55197151108972997</v>
      </c>
      <c r="DV29" s="58">
        <v>46438.923617293745</v>
      </c>
      <c r="DW29" s="58">
        <v>53086.332233690111</v>
      </c>
      <c r="DX29" s="59">
        <v>1.1431430381801719</v>
      </c>
      <c r="DY29" s="58">
        <v>10399.80739103399</v>
      </c>
      <c r="DZ29" s="58">
        <v>10748.398517463133</v>
      </c>
      <c r="EA29" s="59">
        <v>1.0335189983162261</v>
      </c>
      <c r="EB29" s="58">
        <v>4418.7989052921739</v>
      </c>
      <c r="EC29" s="58">
        <v>4413.8454414283015</v>
      </c>
      <c r="ED29" s="59">
        <v>0.99887900219719439</v>
      </c>
      <c r="EE29" s="58">
        <v>73955.815071781573</v>
      </c>
      <c r="EF29" s="58">
        <v>75257.667839580332</v>
      </c>
      <c r="EG29" s="59">
        <v>1.0176031156783978</v>
      </c>
    </row>
    <row r="30" spans="1:137" x14ac:dyDescent="0.2">
      <c r="A30" s="41">
        <v>21</v>
      </c>
      <c r="B30" s="42" t="s">
        <v>53</v>
      </c>
      <c r="C30" s="43">
        <v>5233.99</v>
      </c>
      <c r="D30" s="43">
        <v>3520.4709780000003</v>
      </c>
      <c r="E30" s="44">
        <v>0.67261706231765828</v>
      </c>
      <c r="F30" s="43">
        <v>2557.1470846021084</v>
      </c>
      <c r="G30" s="43">
        <v>2046.7278831678373</v>
      </c>
      <c r="H30" s="44">
        <v>0.80039505568226155</v>
      </c>
      <c r="I30" s="43">
        <v>3469.8</v>
      </c>
      <c r="J30" s="43">
        <v>1687.12</v>
      </c>
      <c r="K30" s="44">
        <v>0.48622975387630407</v>
      </c>
      <c r="L30" s="43">
        <v>9330.2199999999993</v>
      </c>
      <c r="M30" s="43">
        <v>4510.28</v>
      </c>
      <c r="N30" s="44">
        <v>0.48340553598950509</v>
      </c>
      <c r="O30" s="43">
        <v>20591.157084602106</v>
      </c>
      <c r="P30" s="43">
        <v>11764.598861167837</v>
      </c>
      <c r="Q30" s="44">
        <v>0.57134229090823185</v>
      </c>
      <c r="R30" s="45">
        <v>1905.5881099999999</v>
      </c>
      <c r="S30" s="45">
        <v>1364.69182</v>
      </c>
      <c r="T30" s="46">
        <v>0.71615256877311229</v>
      </c>
      <c r="U30" s="47">
        <v>4452.3922760515388</v>
      </c>
      <c r="V30" s="47">
        <v>2790.1645911077462</v>
      </c>
      <c r="W30" s="46">
        <v>0.62666638923875639</v>
      </c>
      <c r="X30" s="47">
        <v>4329.9171399307616</v>
      </c>
      <c r="Y30" s="47">
        <v>2242.1915560627817</v>
      </c>
      <c r="Z30" s="46">
        <v>0.51783705867836449</v>
      </c>
      <c r="AA30" s="47">
        <v>8389.3068263441837</v>
      </c>
      <c r="AB30" s="47">
        <v>4728.6419383525272</v>
      </c>
      <c r="AC30" s="46">
        <v>0.56365109015963022</v>
      </c>
      <c r="AD30" s="47">
        <v>19077.204352326484</v>
      </c>
      <c r="AE30" s="47">
        <v>11125.689905523057</v>
      </c>
      <c r="AF30" s="46">
        <v>0.58319288822663728</v>
      </c>
      <c r="AG30" s="48">
        <v>0</v>
      </c>
      <c r="AH30" s="48">
        <v>-88.055179999999993</v>
      </c>
      <c r="AI30" s="104"/>
      <c r="AJ30" s="48">
        <v>5980.9437503833515</v>
      </c>
      <c r="AK30" s="48">
        <v>4115.9848968789793</v>
      </c>
      <c r="AL30" s="49">
        <v>0.68818318122707023</v>
      </c>
      <c r="AM30" s="48">
        <v>4319.3523237960126</v>
      </c>
      <c r="AN30" s="48">
        <v>2689.6820078020442</v>
      </c>
      <c r="AO30" s="49">
        <v>0.6227049349468784</v>
      </c>
      <c r="AP30" s="50">
        <v>7843.9589102579048</v>
      </c>
      <c r="AQ30" s="50">
        <v>4915.1453315000008</v>
      </c>
      <c r="AR30" s="49">
        <v>0.62661538487564483</v>
      </c>
      <c r="AS30" s="48">
        <v>18144.25498443727</v>
      </c>
      <c r="AT30" s="48">
        <v>11632.757056181024</v>
      </c>
      <c r="AU30" s="51">
        <v>0.64112618931770404</v>
      </c>
      <c r="AV30" s="48"/>
      <c r="AW30" s="48"/>
      <c r="AX30" s="52"/>
      <c r="AY30" s="48">
        <v>7125.08</v>
      </c>
      <c r="AZ30" s="48">
        <v>4727.49</v>
      </c>
      <c r="BA30" s="52">
        <v>0.6634999185974052</v>
      </c>
      <c r="BB30" s="48">
        <v>4254.1499999999996</v>
      </c>
      <c r="BC30" s="48">
        <v>3049.83</v>
      </c>
      <c r="BD30" s="52">
        <v>0.71690702020380104</v>
      </c>
      <c r="BE30" s="53">
        <v>7158.31</v>
      </c>
      <c r="BF30" s="53">
        <v>4744.84</v>
      </c>
      <c r="BG30" s="52">
        <v>0.66284360414678878</v>
      </c>
      <c r="BH30" s="48">
        <v>18537.54</v>
      </c>
      <c r="BI30" s="48">
        <v>12522.16</v>
      </c>
      <c r="BJ30" s="52">
        <v>0.67550279055365492</v>
      </c>
      <c r="BK30" s="54"/>
      <c r="BL30" s="54"/>
      <c r="BM30" s="55" t="s">
        <v>36</v>
      </c>
      <c r="BN30" s="54">
        <v>10617.152575123017</v>
      </c>
      <c r="BO30" s="54">
        <v>6663.0828887579655</v>
      </c>
      <c r="BP30" s="55">
        <v>0.6275772003475012</v>
      </c>
      <c r="BQ30" s="54">
        <v>5205.897690728576</v>
      </c>
      <c r="BR30" s="54">
        <v>3653.9186596250011</v>
      </c>
      <c r="BS30" s="55">
        <v>0.70188061247005173</v>
      </c>
      <c r="BT30" s="54">
        <v>4510.7691459032703</v>
      </c>
      <c r="BU30" s="54">
        <v>3158.2732572616114</v>
      </c>
      <c r="BV30" s="55">
        <v>0.70016291126979746</v>
      </c>
      <c r="BW30" s="54">
        <v>20333.819411754863</v>
      </c>
      <c r="BX30" s="54">
        <v>13475.274805644578</v>
      </c>
      <c r="BY30" s="55">
        <v>0.66270259083025984</v>
      </c>
      <c r="BZ30" s="56">
        <v>0</v>
      </c>
      <c r="CA30" s="56">
        <v>0</v>
      </c>
      <c r="CB30" s="57" t="s">
        <v>36</v>
      </c>
      <c r="CC30" s="56">
        <v>16753.364137177436</v>
      </c>
      <c r="CD30" s="56">
        <v>10056.267407983511</v>
      </c>
      <c r="CE30" s="57">
        <v>0.60025361626729168</v>
      </c>
      <c r="CF30" s="56">
        <v>4037.5296499999999</v>
      </c>
      <c r="CG30" s="56">
        <v>3146.4131499999999</v>
      </c>
      <c r="CH30" s="57">
        <v>0.77929165176533133</v>
      </c>
      <c r="CI30" s="56">
        <v>4766.7094900000002</v>
      </c>
      <c r="CJ30" s="56">
        <v>3170.5240199999998</v>
      </c>
      <c r="CK30" s="57">
        <v>0.66513892374842409</v>
      </c>
      <c r="CL30" s="56">
        <v>25557.603277177437</v>
      </c>
      <c r="CM30" s="56">
        <v>16373.20457798351</v>
      </c>
      <c r="CN30" s="57">
        <v>0.64063928062474229</v>
      </c>
      <c r="CO30" s="58">
        <v>0</v>
      </c>
      <c r="CP30" s="58">
        <v>0</v>
      </c>
      <c r="CQ30" s="59" t="s">
        <v>36</v>
      </c>
      <c r="CR30" s="58">
        <v>19470.974157939301</v>
      </c>
      <c r="CS30" s="58">
        <v>11662.516964751136</v>
      </c>
      <c r="CT30" s="59">
        <v>0.59896936178695181</v>
      </c>
      <c r="CU30" s="58">
        <v>4898.380046487764</v>
      </c>
      <c r="CV30" s="58">
        <v>4250.6072834898368</v>
      </c>
      <c r="CW30" s="59">
        <v>0.86775775728908722</v>
      </c>
      <c r="CX30" s="58">
        <v>5272.9944958605302</v>
      </c>
      <c r="CY30" s="58">
        <v>4162.7850365898403</v>
      </c>
      <c r="CZ30" s="59">
        <v>0.78945370412538074</v>
      </c>
      <c r="DA30" s="58">
        <v>29642.348700287595</v>
      </c>
      <c r="DB30" s="58">
        <v>20075.909284830814</v>
      </c>
      <c r="DC30" s="59">
        <v>0.67727120707665223</v>
      </c>
      <c r="DD30" s="58">
        <v>0</v>
      </c>
      <c r="DE30" s="58">
        <v>0</v>
      </c>
      <c r="DF30" s="59" t="s">
        <v>36</v>
      </c>
      <c r="DG30" s="58">
        <v>16847.74070497795</v>
      </c>
      <c r="DH30" s="58">
        <v>10823.498812922126</v>
      </c>
      <c r="DI30" s="59">
        <v>0.64243028204512542</v>
      </c>
      <c r="DJ30" s="58">
        <v>5864.8322310833682</v>
      </c>
      <c r="DK30" s="58">
        <v>5225.9665905983629</v>
      </c>
      <c r="DL30" s="59">
        <v>0.89106838604878691</v>
      </c>
      <c r="DM30" s="58">
        <v>6471.2408159863699</v>
      </c>
      <c r="DN30" s="58">
        <v>4960.1228432433618</v>
      </c>
      <c r="DO30" s="59">
        <v>0.76648713659210688</v>
      </c>
      <c r="DP30" s="58">
        <v>29183.813752047688</v>
      </c>
      <c r="DQ30" s="58">
        <v>21009.588246763851</v>
      </c>
      <c r="DR30" s="59">
        <v>0.71990550739070935</v>
      </c>
      <c r="DS30" s="58"/>
      <c r="DT30" s="58"/>
      <c r="DU30" s="59" t="s">
        <v>36</v>
      </c>
      <c r="DV30" s="58">
        <v>16466.466642999727</v>
      </c>
      <c r="DW30" s="58">
        <v>14785.731238128918</v>
      </c>
      <c r="DX30" s="59">
        <v>0.89792980842157</v>
      </c>
      <c r="DY30" s="58">
        <v>6699.3952490631445</v>
      </c>
      <c r="DZ30" s="58">
        <v>6866.1245003846125</v>
      </c>
      <c r="EA30" s="59">
        <v>1.0248872092365029</v>
      </c>
      <c r="EB30" s="58">
        <v>7773.502868745476</v>
      </c>
      <c r="EC30" s="58">
        <v>8317.3556500996074</v>
      </c>
      <c r="ED30" s="59">
        <v>1.0699623825368061</v>
      </c>
      <c r="EE30" s="58">
        <v>30939.364760808348</v>
      </c>
      <c r="EF30" s="58">
        <v>29969.211388613134</v>
      </c>
      <c r="EG30" s="59">
        <v>0.96864339718363801</v>
      </c>
    </row>
    <row r="31" spans="1:137" x14ac:dyDescent="0.2">
      <c r="A31" s="95">
        <v>22</v>
      </c>
      <c r="B31" s="83" t="s">
        <v>54</v>
      </c>
      <c r="C31" s="43"/>
      <c r="D31" s="43"/>
      <c r="E31" s="44"/>
      <c r="F31" s="43">
        <v>582.94944198525991</v>
      </c>
      <c r="G31" s="43">
        <v>408.65044450679801</v>
      </c>
      <c r="H31" s="44">
        <v>0.7010564125681622</v>
      </c>
      <c r="I31" s="43">
        <v>142.38902355696283</v>
      </c>
      <c r="J31" s="43">
        <v>17.003737974077641</v>
      </c>
      <c r="K31" s="44">
        <v>0.11941747719953487</v>
      </c>
      <c r="L31" s="43">
        <v>186.2154354444794</v>
      </c>
      <c r="M31" s="43">
        <v>17.650274595695347</v>
      </c>
      <c r="N31" s="44">
        <v>9.4784165198581627E-2</v>
      </c>
      <c r="O31" s="43">
        <v>911.55390098670205</v>
      </c>
      <c r="P31" s="43">
        <v>443.304457076571</v>
      </c>
      <c r="Q31" s="44">
        <v>0.4863502384189114</v>
      </c>
      <c r="R31" s="45"/>
      <c r="S31" s="45"/>
      <c r="T31" s="46"/>
      <c r="U31" s="47">
        <v>5131.7322363995327</v>
      </c>
      <c r="V31" s="47">
        <v>2850.1066560256754</v>
      </c>
      <c r="W31" s="46">
        <v>0.55538880922308886</v>
      </c>
      <c r="X31" s="47">
        <v>66.761749960665355</v>
      </c>
      <c r="Y31" s="47">
        <v>16.680727089899282</v>
      </c>
      <c r="Z31" s="46">
        <v>0.24985455144191429</v>
      </c>
      <c r="AA31" s="47">
        <v>41.13948171665632</v>
      </c>
      <c r="AB31" s="47">
        <v>18.777228084050833</v>
      </c>
      <c r="AC31" s="46">
        <v>0.45642840649711969</v>
      </c>
      <c r="AD31" s="47">
        <v>5239.6334680768541</v>
      </c>
      <c r="AE31" s="47">
        <v>2885.5646111996257</v>
      </c>
      <c r="AF31" s="46">
        <v>0.55071879145369651</v>
      </c>
      <c r="AG31" s="48"/>
      <c r="AH31" s="48"/>
      <c r="AI31" s="49"/>
      <c r="AJ31" s="48">
        <v>13598.66775826953</v>
      </c>
      <c r="AK31" s="48">
        <v>5051.7194195094808</v>
      </c>
      <c r="AL31" s="49">
        <v>0.3714863477297225</v>
      </c>
      <c r="AM31" s="48">
        <v>125.48161874460946</v>
      </c>
      <c r="AN31" s="48">
        <v>45.994644490292387</v>
      </c>
      <c r="AO31" s="49">
        <v>0.36654487685486814</v>
      </c>
      <c r="AP31" s="50">
        <v>218.89167843102359</v>
      </c>
      <c r="AQ31" s="50">
        <v>91.128041499455648</v>
      </c>
      <c r="AR31" s="49">
        <v>0.41631569620483133</v>
      </c>
      <c r="AS31" s="48">
        <v>13943.041055445163</v>
      </c>
      <c r="AT31" s="48">
        <v>5188.8421054992286</v>
      </c>
      <c r="AU31" s="51">
        <v>0.37214565207586725</v>
      </c>
      <c r="AV31" s="48"/>
      <c r="AW31" s="48"/>
      <c r="AX31" s="52"/>
      <c r="AY31" s="48">
        <v>23670.550774581799</v>
      </c>
      <c r="AZ31" s="48">
        <v>10357.745097074692</v>
      </c>
      <c r="BA31" s="52">
        <v>0.43757938696539217</v>
      </c>
      <c r="BB31" s="48">
        <v>420.67209444280297</v>
      </c>
      <c r="BC31" s="48">
        <v>373.32063053295633</v>
      </c>
      <c r="BD31" s="52">
        <v>0.88743854290462132</v>
      </c>
      <c r="BE31" s="53">
        <v>1526.8712623454201</v>
      </c>
      <c r="BF31" s="53">
        <v>167.46200643218168</v>
      </c>
      <c r="BG31" s="52">
        <v>0.10967657232276679</v>
      </c>
      <c r="BH31" s="48">
        <v>25618.09413137002</v>
      </c>
      <c r="BI31" s="48">
        <v>10898.527734039832</v>
      </c>
      <c r="BJ31" s="52">
        <v>0.42542304974569917</v>
      </c>
      <c r="BK31" s="54"/>
      <c r="BL31" s="54"/>
      <c r="BM31" s="55" t="s">
        <v>36</v>
      </c>
      <c r="BN31" s="54">
        <v>33582.173666016562</v>
      </c>
      <c r="BO31" s="54">
        <v>14997.331010247417</v>
      </c>
      <c r="BP31" s="55">
        <v>0.44658607150924085</v>
      </c>
      <c r="BQ31" s="54">
        <v>1278.9829085187109</v>
      </c>
      <c r="BR31" s="54">
        <v>509.15447404849499</v>
      </c>
      <c r="BS31" s="55">
        <v>0.3980932588365752</v>
      </c>
      <c r="BT31" s="54">
        <v>4931.2133835811555</v>
      </c>
      <c r="BU31" s="54">
        <v>784.26362661729445</v>
      </c>
      <c r="BV31" s="55">
        <v>0.15904069964373455</v>
      </c>
      <c r="BW31" s="54">
        <v>39792.369958116426</v>
      </c>
      <c r="BX31" s="54">
        <v>16290.749110913206</v>
      </c>
      <c r="BY31" s="55">
        <v>0.40939378901181511</v>
      </c>
      <c r="BZ31" s="56">
        <v>0</v>
      </c>
      <c r="CA31" s="56">
        <v>0</v>
      </c>
      <c r="CB31" s="57" t="s">
        <v>36</v>
      </c>
      <c r="CC31" s="56">
        <v>38003.050119697567</v>
      </c>
      <c r="CD31" s="56">
        <v>23842.431554541923</v>
      </c>
      <c r="CE31" s="57">
        <v>0.62738205168916228</v>
      </c>
      <c r="CF31" s="56">
        <v>2653.8863973639104</v>
      </c>
      <c r="CG31" s="56">
        <v>1322.7550536446092</v>
      </c>
      <c r="CH31" s="57">
        <v>0.49842188232265477</v>
      </c>
      <c r="CI31" s="56">
        <v>8597.814225377273</v>
      </c>
      <c r="CJ31" s="56">
        <v>1533.8797541469412</v>
      </c>
      <c r="CK31" s="57">
        <v>0.17840345394060134</v>
      </c>
      <c r="CL31" s="56">
        <v>49254.750742438751</v>
      </c>
      <c r="CM31" s="56">
        <v>26699.066362333477</v>
      </c>
      <c r="CN31" s="57">
        <v>0.54206073444462888</v>
      </c>
      <c r="CO31" s="58">
        <v>0</v>
      </c>
      <c r="CP31" s="58">
        <v>0</v>
      </c>
      <c r="CQ31" s="59" t="s">
        <v>36</v>
      </c>
      <c r="CR31" s="58">
        <v>36641.878191672811</v>
      </c>
      <c r="CS31" s="58">
        <v>27861.582689920811</v>
      </c>
      <c r="CT31" s="59">
        <v>0.76037539735756776</v>
      </c>
      <c r="CU31" s="58">
        <v>6095.1575037798748</v>
      </c>
      <c r="CV31" s="58">
        <v>2156.3343682625018</v>
      </c>
      <c r="CW31" s="59">
        <v>0.35377828496232694</v>
      </c>
      <c r="CX31" s="58">
        <v>15514.44336008131</v>
      </c>
      <c r="CY31" s="58">
        <v>3528.2465820297325</v>
      </c>
      <c r="CZ31" s="59">
        <v>0.22741689792802475</v>
      </c>
      <c r="DA31" s="58">
        <v>58251.479055534001</v>
      </c>
      <c r="DB31" s="58">
        <v>33546.163640213046</v>
      </c>
      <c r="DC31" s="59">
        <v>0.57588518238707442</v>
      </c>
      <c r="DD31" s="58">
        <v>0</v>
      </c>
      <c r="DE31" s="58">
        <v>0</v>
      </c>
      <c r="DF31" s="59" t="s">
        <v>36</v>
      </c>
      <c r="DG31" s="58">
        <v>61177.339010000003</v>
      </c>
      <c r="DH31" s="58">
        <v>63654.302593232154</v>
      </c>
      <c r="DI31" s="59">
        <v>1.0404882530576767</v>
      </c>
      <c r="DJ31" s="58">
        <v>9849.1890500000009</v>
      </c>
      <c r="DK31" s="58">
        <v>5472.8216245894118</v>
      </c>
      <c r="DL31" s="59">
        <v>0.55566215622487325</v>
      </c>
      <c r="DM31" s="58">
        <v>18398.35671</v>
      </c>
      <c r="DN31" s="58">
        <v>-628.64035805277888</v>
      </c>
      <c r="DO31" s="59">
        <v>-3.4168288394533411E-2</v>
      </c>
      <c r="DP31" s="58">
        <v>89424.884770000004</v>
      </c>
      <c r="DQ31" s="58">
        <v>68498.483859768778</v>
      </c>
      <c r="DR31" s="59">
        <v>0.76598906485533935</v>
      </c>
      <c r="DS31" s="58">
        <v>7452.3196395000014</v>
      </c>
      <c r="DT31" s="58">
        <v>14421.55788</v>
      </c>
      <c r="DU31" s="59">
        <v>1.9351770425359245</v>
      </c>
      <c r="DV31" s="58">
        <v>82141.623916879849</v>
      </c>
      <c r="DW31" s="58">
        <v>89108.846271133196</v>
      </c>
      <c r="DX31" s="59">
        <v>1.0848196325081614</v>
      </c>
      <c r="DY31" s="58">
        <v>13298.200185370297</v>
      </c>
      <c r="DZ31" s="58">
        <v>12558.627826224963</v>
      </c>
      <c r="EA31" s="59">
        <v>0.9443855297080761</v>
      </c>
      <c r="EB31" s="58">
        <v>14979.995294575434</v>
      </c>
      <c r="EC31" s="58">
        <v>5610.7170200983355</v>
      </c>
      <c r="ED31" s="59">
        <v>0.37454731525383672</v>
      </c>
      <c r="EE31" s="58">
        <v>117872.13903632558</v>
      </c>
      <c r="EF31" s="58">
        <v>121699.74899745651</v>
      </c>
      <c r="EG31" s="59">
        <v>1.0324725587609074</v>
      </c>
    </row>
    <row r="32" spans="1:137" x14ac:dyDescent="0.2">
      <c r="A32" s="41">
        <v>23</v>
      </c>
      <c r="B32" s="83" t="s">
        <v>55</v>
      </c>
      <c r="C32" s="43"/>
      <c r="D32" s="43"/>
      <c r="E32" s="44"/>
      <c r="F32" s="43"/>
      <c r="G32" s="43"/>
      <c r="H32" s="44"/>
      <c r="I32" s="43"/>
      <c r="J32" s="43"/>
      <c r="K32" s="44"/>
      <c r="L32" s="43"/>
      <c r="M32" s="43"/>
      <c r="N32" s="44"/>
      <c r="O32" s="43"/>
      <c r="P32" s="43"/>
      <c r="Q32" s="44"/>
      <c r="R32" s="45"/>
      <c r="S32" s="45"/>
      <c r="T32" s="46"/>
      <c r="U32" s="47"/>
      <c r="V32" s="47"/>
      <c r="W32" s="46"/>
      <c r="X32" s="47"/>
      <c r="Y32" s="47"/>
      <c r="Z32" s="46"/>
      <c r="AA32" s="47"/>
      <c r="AB32" s="47"/>
      <c r="AC32" s="46"/>
      <c r="AD32" s="93"/>
      <c r="AE32" s="93"/>
      <c r="AF32" s="46"/>
      <c r="AG32" s="48"/>
      <c r="AH32" s="48"/>
      <c r="AI32" s="49"/>
      <c r="AJ32" s="48"/>
      <c r="AK32" s="48"/>
      <c r="AL32" s="49"/>
      <c r="AM32" s="48"/>
      <c r="AN32" s="48"/>
      <c r="AO32" s="49"/>
      <c r="AP32" s="50"/>
      <c r="AQ32" s="50"/>
      <c r="AR32" s="49"/>
      <c r="AS32" s="48"/>
      <c r="AT32" s="48"/>
      <c r="AU32" s="51"/>
      <c r="AV32" s="87"/>
      <c r="AW32" s="87"/>
      <c r="AX32" s="101"/>
      <c r="AY32" s="87"/>
      <c r="AZ32" s="87"/>
      <c r="BA32" s="101"/>
      <c r="BB32" s="87"/>
      <c r="BC32" s="87"/>
      <c r="BD32" s="101"/>
      <c r="BE32" s="101"/>
      <c r="BF32" s="101"/>
      <c r="BG32" s="101"/>
      <c r="BH32" s="87">
        <v>0</v>
      </c>
      <c r="BI32" s="87">
        <v>0</v>
      </c>
      <c r="BJ32" s="52">
        <v>0</v>
      </c>
      <c r="BK32" s="54"/>
      <c r="BL32" s="54"/>
      <c r="BM32" s="55" t="s">
        <v>36</v>
      </c>
      <c r="BN32" s="88"/>
      <c r="BO32" s="88"/>
      <c r="BP32" s="105" t="s">
        <v>36</v>
      </c>
      <c r="BQ32" s="88">
        <v>0.10510294629089897</v>
      </c>
      <c r="BR32" s="88"/>
      <c r="BS32" s="55">
        <v>0</v>
      </c>
      <c r="BT32" s="88"/>
      <c r="BU32" s="88"/>
      <c r="BV32" s="105" t="s">
        <v>36</v>
      </c>
      <c r="BW32" s="88">
        <v>0.10510294629089897</v>
      </c>
      <c r="BX32" s="88"/>
      <c r="BY32" s="55">
        <v>0</v>
      </c>
      <c r="BZ32" s="56">
        <v>0</v>
      </c>
      <c r="CA32" s="56">
        <v>0</v>
      </c>
      <c r="CB32" s="57" t="s">
        <v>36</v>
      </c>
      <c r="CC32" s="56">
        <v>0</v>
      </c>
      <c r="CD32" s="56">
        <v>0</v>
      </c>
      <c r="CE32" s="57" t="s">
        <v>36</v>
      </c>
      <c r="CF32" s="56">
        <v>0</v>
      </c>
      <c r="CG32" s="56">
        <v>0</v>
      </c>
      <c r="CH32" s="57" t="s">
        <v>36</v>
      </c>
      <c r="CI32" s="56">
        <v>1.7984620318545168</v>
      </c>
      <c r="CJ32" s="56">
        <v>0</v>
      </c>
      <c r="CK32" s="57">
        <v>0</v>
      </c>
      <c r="CL32" s="56">
        <v>1.7984620318545168</v>
      </c>
      <c r="CM32" s="56">
        <v>0</v>
      </c>
      <c r="CN32" s="57">
        <v>0</v>
      </c>
      <c r="CO32" s="58">
        <v>0</v>
      </c>
      <c r="CP32" s="58">
        <v>0</v>
      </c>
      <c r="CQ32" s="59" t="s">
        <v>36</v>
      </c>
      <c r="CR32" s="58">
        <v>0.41109949460000006</v>
      </c>
      <c r="CS32" s="58">
        <v>0</v>
      </c>
      <c r="CT32" s="59">
        <v>0</v>
      </c>
      <c r="CU32" s="58">
        <v>0</v>
      </c>
      <c r="CV32" s="58">
        <v>0</v>
      </c>
      <c r="CW32" s="59" t="s">
        <v>36</v>
      </c>
      <c r="CX32" s="58">
        <v>13.357818856299994</v>
      </c>
      <c r="CY32" s="58">
        <v>0</v>
      </c>
      <c r="CZ32" s="59">
        <v>0</v>
      </c>
      <c r="DA32" s="58">
        <v>13.768918350899995</v>
      </c>
      <c r="DB32" s="58">
        <v>0</v>
      </c>
      <c r="DC32" s="59">
        <v>0</v>
      </c>
      <c r="DD32" s="58">
        <v>0</v>
      </c>
      <c r="DE32" s="58">
        <v>0</v>
      </c>
      <c r="DF32" s="59" t="s">
        <v>36</v>
      </c>
      <c r="DG32" s="58">
        <v>1.2467950810800001</v>
      </c>
      <c r="DH32" s="58">
        <v>0</v>
      </c>
      <c r="DI32" s="59">
        <v>0</v>
      </c>
      <c r="DJ32" s="58">
        <v>0</v>
      </c>
      <c r="DK32" s="58">
        <v>0</v>
      </c>
      <c r="DL32" s="59" t="s">
        <v>36</v>
      </c>
      <c r="DM32" s="58">
        <v>113.660135625</v>
      </c>
      <c r="DN32" s="58">
        <v>5.6401499999999993E-2</v>
      </c>
      <c r="DO32" s="59">
        <v>4.9622939203667693E-4</v>
      </c>
      <c r="DP32" s="58">
        <v>114.90693070607999</v>
      </c>
      <c r="DQ32" s="58">
        <v>5.6401499999999993E-2</v>
      </c>
      <c r="DR32" s="59">
        <v>4.9084506611937252E-4</v>
      </c>
      <c r="DS32" s="58"/>
      <c r="DT32" s="58"/>
      <c r="DU32" s="59" t="s">
        <v>36</v>
      </c>
      <c r="DV32" s="58">
        <v>0.68529454681116653</v>
      </c>
      <c r="DW32" s="58">
        <v>0</v>
      </c>
      <c r="DX32" s="59">
        <v>0</v>
      </c>
      <c r="DY32" s="58"/>
      <c r="DZ32" s="58"/>
      <c r="EA32" s="59" t="s">
        <v>36</v>
      </c>
      <c r="EB32" s="58">
        <v>823.86799042433381</v>
      </c>
      <c r="EC32" s="58">
        <v>4.64550076</v>
      </c>
      <c r="ED32" s="59">
        <v>5.6386469847036188E-3</v>
      </c>
      <c r="EE32" s="58">
        <v>824.55328497114499</v>
      </c>
      <c r="EF32" s="58">
        <v>4.64550076</v>
      </c>
      <c r="EG32" s="59">
        <v>5.6339606483558763E-3</v>
      </c>
    </row>
    <row r="33" spans="1:137" x14ac:dyDescent="0.2">
      <c r="A33" s="95">
        <v>24</v>
      </c>
      <c r="B33" s="42" t="s">
        <v>56</v>
      </c>
      <c r="C33" s="43">
        <v>3852.3058585000003</v>
      </c>
      <c r="D33" s="43">
        <v>2339.9948136000003</v>
      </c>
      <c r="E33" s="44">
        <v>0.6074270578585732</v>
      </c>
      <c r="F33" s="43">
        <v>1046.34218923705</v>
      </c>
      <c r="G33" s="43">
        <v>851.2574386</v>
      </c>
      <c r="H33" s="44">
        <v>0.81355549585619036</v>
      </c>
      <c r="I33" s="43">
        <v>2027.84547891588</v>
      </c>
      <c r="J33" s="43">
        <v>306.72969330000001</v>
      </c>
      <c r="K33" s="44">
        <v>0.15125890827933439</v>
      </c>
      <c r="L33" s="43">
        <v>1648.2752824494298</v>
      </c>
      <c r="M33" s="43">
        <v>546.77693139999997</v>
      </c>
      <c r="N33" s="44">
        <v>0.33172670683228273</v>
      </c>
      <c r="O33" s="43">
        <v>8574.7688091023592</v>
      </c>
      <c r="P33" s="43">
        <v>4044.7588769000004</v>
      </c>
      <c r="Q33" s="44">
        <v>0.47170471495469063</v>
      </c>
      <c r="R33" s="45">
        <v>3231</v>
      </c>
      <c r="S33" s="45">
        <v>2256.9117824</v>
      </c>
      <c r="T33" s="46">
        <v>0.69851803850201177</v>
      </c>
      <c r="U33" s="106">
        <v>3240</v>
      </c>
      <c r="V33" s="106">
        <v>2449.8983546999998</v>
      </c>
      <c r="W33" s="46">
        <v>0.75614146749999989</v>
      </c>
      <c r="X33" s="106">
        <v>3682</v>
      </c>
      <c r="Y33" s="106">
        <v>588.66625260000001</v>
      </c>
      <c r="Z33" s="46">
        <v>0.15987676605105922</v>
      </c>
      <c r="AA33" s="106">
        <v>1972</v>
      </c>
      <c r="AB33" s="106">
        <v>637.25171060000002</v>
      </c>
      <c r="AC33" s="46">
        <v>0.32314995466531443</v>
      </c>
      <c r="AD33" s="106">
        <v>12125</v>
      </c>
      <c r="AE33" s="106">
        <v>5932.7281002999989</v>
      </c>
      <c r="AF33" s="46">
        <v>0.48929716291134012</v>
      </c>
      <c r="AG33" s="48">
        <v>3388.3591860000001</v>
      </c>
      <c r="AH33" s="48">
        <v>2399.8843068000001</v>
      </c>
      <c r="AI33" s="49">
        <v>0.70827328953666602</v>
      </c>
      <c r="AJ33" s="48">
        <v>3071.60789539502</v>
      </c>
      <c r="AK33" s="48">
        <v>2299.9997140999999</v>
      </c>
      <c r="AL33" s="49">
        <v>0.74879339825508928</v>
      </c>
      <c r="AM33" s="48">
        <v>3574.6085618060501</v>
      </c>
      <c r="AN33" s="48">
        <v>258.32815110000001</v>
      </c>
      <c r="AO33" s="49">
        <v>7.2267535489111356E-2</v>
      </c>
      <c r="AP33" s="50">
        <v>2962.940002304068</v>
      </c>
      <c r="AQ33" s="50">
        <v>2216.0427124000003</v>
      </c>
      <c r="AR33" s="49">
        <v>0.74792021123503727</v>
      </c>
      <c r="AS33" s="48">
        <v>12997.515645505136</v>
      </c>
      <c r="AT33" s="48">
        <v>7174.2548843999994</v>
      </c>
      <c r="AU33" s="51">
        <v>0.55197124435707334</v>
      </c>
      <c r="AV33" s="48">
        <v>167.1394185</v>
      </c>
      <c r="AW33" s="48">
        <v>418.34079655836319</v>
      </c>
      <c r="AX33" s="52">
        <v>2.5029451479057476</v>
      </c>
      <c r="AY33" s="48">
        <v>2225.6586546924709</v>
      </c>
      <c r="AZ33" s="48">
        <v>2363.6463718003679</v>
      </c>
      <c r="BA33" s="52">
        <v>1.0619985984000604</v>
      </c>
      <c r="BB33" s="48">
        <v>3462.2718195000039</v>
      </c>
      <c r="BC33" s="48">
        <v>2192.0514677148644</v>
      </c>
      <c r="BD33" s="52">
        <v>0.63312517964907344</v>
      </c>
      <c r="BE33" s="53">
        <v>3998.84</v>
      </c>
      <c r="BF33" s="53">
        <v>1727.1715095642421</v>
      </c>
      <c r="BG33" s="52">
        <v>0.43191813364981896</v>
      </c>
      <c r="BH33" s="48">
        <v>9853.9098926924744</v>
      </c>
      <c r="BI33" s="48">
        <v>6701.2101456378377</v>
      </c>
      <c r="BJ33" s="52">
        <v>0.680055959371758</v>
      </c>
      <c r="BK33" s="54"/>
      <c r="BL33" s="54">
        <v>-23.929369419306294</v>
      </c>
      <c r="BM33" s="55"/>
      <c r="BN33" s="54">
        <v>7373.8734184940704</v>
      </c>
      <c r="BO33" s="54">
        <v>6363.6114195946275</v>
      </c>
      <c r="BP33" s="55">
        <v>0.86299439364314945</v>
      </c>
      <c r="BQ33" s="54">
        <v>4492.8036259000019</v>
      </c>
      <c r="BR33" s="54">
        <v>2835.9404442160326</v>
      </c>
      <c r="BS33" s="55">
        <v>0.63121842848137721</v>
      </c>
      <c r="BT33" s="54">
        <v>5126.4847723271296</v>
      </c>
      <c r="BU33" s="54">
        <v>2264.0910890149039</v>
      </c>
      <c r="BV33" s="55">
        <v>0.44164592104837885</v>
      </c>
      <c r="BW33" s="54">
        <v>16993.161816721204</v>
      </c>
      <c r="BX33" s="54">
        <v>11439.713583406257</v>
      </c>
      <c r="BY33" s="55">
        <v>0.6731951185299504</v>
      </c>
      <c r="BZ33" s="56">
        <v>0</v>
      </c>
      <c r="CA33" s="56">
        <v>1.8319586516292672</v>
      </c>
      <c r="CB33" s="57" t="s">
        <v>36</v>
      </c>
      <c r="CC33" s="56">
        <v>22259.263720100189</v>
      </c>
      <c r="CD33" s="56">
        <v>23466.989314850089</v>
      </c>
      <c r="CE33" s="57">
        <v>1.0542572121852942</v>
      </c>
      <c r="CF33" s="56">
        <v>5521.0019968999813</v>
      </c>
      <c r="CG33" s="56">
        <v>4306.0076208297196</v>
      </c>
      <c r="CH33" s="57">
        <v>0.77993227012914035</v>
      </c>
      <c r="CI33" s="56">
        <v>8349.4498522999947</v>
      </c>
      <c r="CJ33" s="56">
        <v>3476.8209689328896</v>
      </c>
      <c r="CK33" s="57">
        <v>0.41641318056124876</v>
      </c>
      <c r="CL33" s="56">
        <v>36129.715569300162</v>
      </c>
      <c r="CM33" s="56">
        <v>31251.649863264331</v>
      </c>
      <c r="CN33" s="57">
        <v>0.86498466347792724</v>
      </c>
      <c r="CO33" s="58">
        <v>0</v>
      </c>
      <c r="CP33" s="58">
        <v>-5.9890984000000103</v>
      </c>
      <c r="CQ33" s="59" t="s">
        <v>36</v>
      </c>
      <c r="CR33" s="58">
        <v>33948.829223600114</v>
      </c>
      <c r="CS33" s="58">
        <v>26723.221072200031</v>
      </c>
      <c r="CT33" s="59">
        <v>0.78716178682306137</v>
      </c>
      <c r="CU33" s="58">
        <v>7951.17802879997</v>
      </c>
      <c r="CV33" s="58">
        <v>5354.2212558175997</v>
      </c>
      <c r="CW33" s="59">
        <v>0.67338716809308874</v>
      </c>
      <c r="CX33" s="58">
        <v>7503.8685461000159</v>
      </c>
      <c r="CY33" s="58">
        <v>3444.185327882391</v>
      </c>
      <c r="CZ33" s="59">
        <v>0.45898796157249272</v>
      </c>
      <c r="DA33" s="58">
        <v>49403.875798500099</v>
      </c>
      <c r="DB33" s="58">
        <v>35515.638557500017</v>
      </c>
      <c r="DC33" s="59">
        <v>0.71888364998638976</v>
      </c>
      <c r="DD33" s="58">
        <v>0</v>
      </c>
      <c r="DE33" s="58">
        <v>0</v>
      </c>
      <c r="DF33" s="59" t="s">
        <v>36</v>
      </c>
      <c r="DG33" s="58">
        <v>48826.835671299981</v>
      </c>
      <c r="DH33" s="58">
        <v>35764.450030499982</v>
      </c>
      <c r="DI33" s="59">
        <v>0.73247527796526934</v>
      </c>
      <c r="DJ33" s="58">
        <v>12611.583984299958</v>
      </c>
      <c r="DK33" s="58">
        <v>9251.4583387333532</v>
      </c>
      <c r="DL33" s="59">
        <v>0.73356830912361259</v>
      </c>
      <c r="DM33" s="58">
        <v>8769.9270698000964</v>
      </c>
      <c r="DN33" s="58">
        <v>4616.3204886666463</v>
      </c>
      <c r="DO33" s="59">
        <v>0.52638071581727208</v>
      </c>
      <c r="DP33" s="58">
        <v>70208.346725400028</v>
      </c>
      <c r="DQ33" s="58">
        <v>49632.228857899987</v>
      </c>
      <c r="DR33" s="59">
        <v>0.70692775393248231</v>
      </c>
      <c r="DS33" s="58"/>
      <c r="DT33" s="58"/>
      <c r="DU33" s="59" t="s">
        <v>36</v>
      </c>
      <c r="DV33" s="58">
        <v>73577.192572199332</v>
      </c>
      <c r="DW33" s="58">
        <v>66388.901936699811</v>
      </c>
      <c r="DX33" s="59">
        <v>0.90230273289585161</v>
      </c>
      <c r="DY33" s="58">
        <v>24133.58295852883</v>
      </c>
      <c r="DZ33" s="58">
        <v>21726.210277585775</v>
      </c>
      <c r="EA33" s="59">
        <v>0.90024802015184047</v>
      </c>
      <c r="EB33" s="58">
        <v>10207.295105869716</v>
      </c>
      <c r="EC33" s="58">
        <v>9249.811521114234</v>
      </c>
      <c r="ED33" s="59">
        <v>0.90619614943778004</v>
      </c>
      <c r="EE33" s="58">
        <v>107918.07063659788</v>
      </c>
      <c r="EF33" s="58">
        <v>97364.923735399818</v>
      </c>
      <c r="EG33" s="59">
        <v>0.90221149396995226</v>
      </c>
    </row>
    <row r="34" spans="1:137" x14ac:dyDescent="0.2">
      <c r="A34" s="95">
        <v>25</v>
      </c>
      <c r="B34" s="42" t="s">
        <v>57</v>
      </c>
      <c r="C34" s="43"/>
      <c r="D34" s="43"/>
      <c r="E34" s="44"/>
      <c r="F34" s="43">
        <v>4021.5150102999978</v>
      </c>
      <c r="G34" s="43">
        <v>4467.728652315358</v>
      </c>
      <c r="H34" s="44">
        <v>1.1109566023930055</v>
      </c>
      <c r="I34" s="43">
        <v>2205.9030472000013</v>
      </c>
      <c r="J34" s="43">
        <v>2205.7637545498001</v>
      </c>
      <c r="K34" s="44">
        <v>0.99993685459096759</v>
      </c>
      <c r="L34" s="43">
        <v>291.14075450000007</v>
      </c>
      <c r="M34" s="43">
        <v>109.16085357000006</v>
      </c>
      <c r="N34" s="44">
        <v>0.37494185160532045</v>
      </c>
      <c r="O34" s="43">
        <v>6518.5588119999993</v>
      </c>
      <c r="P34" s="43">
        <v>6782.6532604351578</v>
      </c>
      <c r="Q34" s="44">
        <v>1.0405142388144122</v>
      </c>
      <c r="R34" s="45"/>
      <c r="S34" s="45"/>
      <c r="T34" s="46"/>
      <c r="U34" s="47">
        <v>5891.0491980072629</v>
      </c>
      <c r="V34" s="47">
        <v>7155.8734488250002</v>
      </c>
      <c r="W34" s="46">
        <v>1.214702713948745</v>
      </c>
      <c r="X34" s="47">
        <v>3395.8670656851959</v>
      </c>
      <c r="Y34" s="47">
        <v>2424.5780497680025</v>
      </c>
      <c r="Z34" s="46">
        <v>0.71397908188693682</v>
      </c>
      <c r="AA34" s="47">
        <v>291.38291560754692</v>
      </c>
      <c r="AB34" s="47">
        <v>58.752736249999998</v>
      </c>
      <c r="AC34" s="46">
        <v>0.20163411477813589</v>
      </c>
      <c r="AD34" s="47">
        <v>9578.2991793000056</v>
      </c>
      <c r="AE34" s="47">
        <v>9639.2042348430041</v>
      </c>
      <c r="AF34" s="46">
        <v>1.0063586503619162</v>
      </c>
      <c r="AG34" s="48"/>
      <c r="AH34" s="48"/>
      <c r="AI34" s="49"/>
      <c r="AJ34" s="48">
        <v>8002.4260200384906</v>
      </c>
      <c r="AK34" s="48">
        <v>8288.6218177645987</v>
      </c>
      <c r="AL34" s="49">
        <v>1.0357636293055954</v>
      </c>
      <c r="AM34" s="48">
        <v>4813.9943046562103</v>
      </c>
      <c r="AN34" s="48">
        <v>2829.4325322354025</v>
      </c>
      <c r="AO34" s="49">
        <v>0.58775153296270166</v>
      </c>
      <c r="AP34" s="50">
        <v>13.946066905302112</v>
      </c>
      <c r="AQ34" s="50">
        <v>3.7180720000000003</v>
      </c>
      <c r="AR34" s="49">
        <v>0.26660362561335754</v>
      </c>
      <c r="AS34" s="48">
        <v>12830.366391600002</v>
      </c>
      <c r="AT34" s="48">
        <v>11121.772422000002</v>
      </c>
      <c r="AU34" s="51">
        <v>0.8668320204231571</v>
      </c>
      <c r="AV34" s="48"/>
      <c r="AW34" s="48"/>
      <c r="AX34" s="52"/>
      <c r="AY34" s="48">
        <v>3602.92439685815</v>
      </c>
      <c r="AZ34" s="48">
        <v>3184.6248743829174</v>
      </c>
      <c r="BA34" s="52">
        <v>0.88389999999999957</v>
      </c>
      <c r="BB34" s="48">
        <v>4888.5149759033839</v>
      </c>
      <c r="BC34" s="48">
        <v>3357.8255856170704</v>
      </c>
      <c r="BD34" s="52">
        <v>0.68688049482686786</v>
      </c>
      <c r="BE34" s="53"/>
      <c r="BF34" s="53"/>
      <c r="BG34" s="52"/>
      <c r="BH34" s="48">
        <v>8491.4393727615334</v>
      </c>
      <c r="BI34" s="48">
        <v>6542.4504599999873</v>
      </c>
      <c r="BJ34" s="52">
        <v>0.77047602565315054</v>
      </c>
      <c r="BK34" s="54"/>
      <c r="BL34" s="54"/>
      <c r="BM34" s="55" t="s">
        <v>36</v>
      </c>
      <c r="BN34" s="54">
        <v>2285.8727642999997</v>
      </c>
      <c r="BO34" s="54">
        <v>3922.8557109000026</v>
      </c>
      <c r="BP34" s="55">
        <v>1.7161303866802464</v>
      </c>
      <c r="BQ34" s="54">
        <v>6326.8182283000006</v>
      </c>
      <c r="BR34" s="54">
        <v>5914.732280699991</v>
      </c>
      <c r="BS34" s="55">
        <v>0.93486679516779225</v>
      </c>
      <c r="BT34" s="54"/>
      <c r="BU34" s="54"/>
      <c r="BV34" s="55" t="s">
        <v>36</v>
      </c>
      <c r="BW34" s="54">
        <v>8612.6909926000008</v>
      </c>
      <c r="BX34" s="54">
        <v>9837.587991599994</v>
      </c>
      <c r="BY34" s="55">
        <v>1.1422200099890292</v>
      </c>
      <c r="BZ34" s="56">
        <v>0</v>
      </c>
      <c r="CA34" s="56">
        <v>0</v>
      </c>
      <c r="CB34" s="57" t="s">
        <v>36</v>
      </c>
      <c r="CC34" s="56">
        <v>3013.8859939144058</v>
      </c>
      <c r="CD34" s="56">
        <v>2934.3603600000001</v>
      </c>
      <c r="CE34" s="57">
        <v>0.973613589208423</v>
      </c>
      <c r="CF34" s="56">
        <v>7627.7095311609473</v>
      </c>
      <c r="CG34" s="56">
        <v>6307.5187999999998</v>
      </c>
      <c r="CH34" s="57">
        <v>0.82692173505458422</v>
      </c>
      <c r="CI34" s="56">
        <v>0</v>
      </c>
      <c r="CJ34" s="56">
        <v>0</v>
      </c>
      <c r="CK34" s="57" t="s">
        <v>36</v>
      </c>
      <c r="CL34" s="56">
        <v>10641.595525075354</v>
      </c>
      <c r="CM34" s="56">
        <v>9241.8791600000004</v>
      </c>
      <c r="CN34" s="57">
        <v>0.86846743406314142</v>
      </c>
      <c r="CO34" s="58">
        <v>0</v>
      </c>
      <c r="CP34" s="58">
        <v>0</v>
      </c>
      <c r="CQ34" s="59" t="s">
        <v>36</v>
      </c>
      <c r="CR34" s="58">
        <v>5695.38879</v>
      </c>
      <c r="CS34" s="58">
        <v>3787.8261400000001</v>
      </c>
      <c r="CT34" s="59">
        <v>0.66506893201930117</v>
      </c>
      <c r="CU34" s="58">
        <v>8739.8671030142195</v>
      </c>
      <c r="CV34" s="58">
        <v>6943.1977474781797</v>
      </c>
      <c r="CW34" s="59">
        <v>0.7944282980096572</v>
      </c>
      <c r="CX34" s="58">
        <v>0</v>
      </c>
      <c r="CY34" s="58">
        <v>0</v>
      </c>
      <c r="CZ34" s="59" t="s">
        <v>36</v>
      </c>
      <c r="DA34" s="58">
        <v>14435.255893014219</v>
      </c>
      <c r="DB34" s="58">
        <v>10731.023887478179</v>
      </c>
      <c r="DC34" s="59">
        <v>0.74338993136043663</v>
      </c>
      <c r="DD34" s="58">
        <v>0</v>
      </c>
      <c r="DE34" s="58">
        <v>0</v>
      </c>
      <c r="DF34" s="59" t="s">
        <v>36</v>
      </c>
      <c r="DG34" s="58">
        <v>10564.53736</v>
      </c>
      <c r="DH34" s="58">
        <v>9323.5213199999998</v>
      </c>
      <c r="DI34" s="59">
        <v>0.88253001549326715</v>
      </c>
      <c r="DJ34" s="58">
        <v>10098.23006</v>
      </c>
      <c r="DK34" s="58">
        <v>10655.417439999999</v>
      </c>
      <c r="DL34" s="59">
        <v>1.0551767365854605</v>
      </c>
      <c r="DM34" s="58">
        <v>0</v>
      </c>
      <c r="DN34" s="58">
        <v>0</v>
      </c>
      <c r="DO34" s="59" t="s">
        <v>36</v>
      </c>
      <c r="DP34" s="58">
        <v>20662.76742</v>
      </c>
      <c r="DQ34" s="58">
        <v>19978.938759999997</v>
      </c>
      <c r="DR34" s="59">
        <v>0.96690527236259227</v>
      </c>
      <c r="DS34" s="58"/>
      <c r="DT34" s="58"/>
      <c r="DU34" s="59" t="s">
        <v>36</v>
      </c>
      <c r="DV34" s="58">
        <v>14131.773868700002</v>
      </c>
      <c r="DW34" s="58">
        <v>14759.356549200002</v>
      </c>
      <c r="DX34" s="59">
        <v>1.0444093350439192</v>
      </c>
      <c r="DY34" s="58">
        <v>11004.204343899999</v>
      </c>
      <c r="DZ34" s="58">
        <v>16376.401673500002</v>
      </c>
      <c r="EA34" s="59">
        <v>1.4881949809100004</v>
      </c>
      <c r="EB34" s="58"/>
      <c r="EC34" s="58"/>
      <c r="ED34" s="59" t="s">
        <v>36</v>
      </c>
      <c r="EE34" s="58">
        <v>25135.978212599999</v>
      </c>
      <c r="EF34" s="58">
        <v>31135.758222700002</v>
      </c>
      <c r="EG34" s="59">
        <v>1.2386929189448641</v>
      </c>
    </row>
    <row r="35" spans="1:137" s="74" customFormat="1" x14ac:dyDescent="0.2">
      <c r="A35" s="60"/>
      <c r="B35" s="28" t="s">
        <v>58</v>
      </c>
      <c r="C35" s="61">
        <v>73043.546759783756</v>
      </c>
      <c r="D35" s="61">
        <v>58109.73198649969</v>
      </c>
      <c r="E35" s="62">
        <v>0.79554915614384825</v>
      </c>
      <c r="F35" s="61">
        <v>190558.97091124987</v>
      </c>
      <c r="G35" s="61">
        <v>196561.17322656271</v>
      </c>
      <c r="H35" s="62">
        <v>1.0314978732652176</v>
      </c>
      <c r="I35" s="61">
        <v>55129.376810566551</v>
      </c>
      <c r="J35" s="61">
        <v>33981.784629363581</v>
      </c>
      <c r="K35" s="62">
        <v>0.61640066685554029</v>
      </c>
      <c r="L35" s="61">
        <v>37889.293377400383</v>
      </c>
      <c r="M35" s="61">
        <v>21471.032750477618</v>
      </c>
      <c r="N35" s="62">
        <v>0.56667809918261303</v>
      </c>
      <c r="O35" s="61">
        <v>356621.18785900052</v>
      </c>
      <c r="P35" s="61">
        <v>310123.72259290371</v>
      </c>
      <c r="Q35" s="62">
        <v>0.86961664968577024</v>
      </c>
      <c r="R35" s="63">
        <f>SUM(R14:R34)</f>
        <v>54645.032042403123</v>
      </c>
      <c r="S35" s="63">
        <f>SUM(S14:S34)</f>
        <v>47920.384093568071</v>
      </c>
      <c r="T35" s="62">
        <f>S35/R35</f>
        <v>0.87693944540801261</v>
      </c>
      <c r="U35" s="63">
        <f>SUM(U14:U34)</f>
        <v>175409.99305851103</v>
      </c>
      <c r="V35" s="63">
        <f>SUM(V14:V34)</f>
        <v>172050.34380460947</v>
      </c>
      <c r="W35" s="62">
        <f t="shared" ref="W35" si="8">V35/U35</f>
        <v>0.98084687653581459</v>
      </c>
      <c r="X35" s="63">
        <f>SUM(X14:X34)</f>
        <v>63434.721247024252</v>
      </c>
      <c r="Y35" s="63">
        <f>SUM(Y14:Y34)</f>
        <v>37398.725167078264</v>
      </c>
      <c r="Z35" s="62">
        <f t="shared" ref="Z35" si="9">Y35/X35</f>
        <v>0.58956237896028674</v>
      </c>
      <c r="AA35" s="63">
        <f>SUM(AA14:AA34)</f>
        <v>46490.724591321385</v>
      </c>
      <c r="AB35" s="63">
        <f>SUM(AB14:AB34)</f>
        <v>29554.569792847593</v>
      </c>
      <c r="AC35" s="62">
        <f t="shared" ref="AC35" si="10">AB35/AA35</f>
        <v>0.63570895168118469</v>
      </c>
      <c r="AD35" s="63">
        <f>SUM(AD14:AD34)</f>
        <v>339980.4709392598</v>
      </c>
      <c r="AE35" s="63">
        <f>SUM(AE14:AE34)</f>
        <v>286926.60280110338</v>
      </c>
      <c r="AF35" s="62">
        <f t="shared" ref="AF35" si="11">AE35/AD35</f>
        <v>0.84395024810811881</v>
      </c>
      <c r="AG35" s="64">
        <v>49429.767119465774</v>
      </c>
      <c r="AH35" s="64">
        <v>40553.631847064004</v>
      </c>
      <c r="AI35" s="65">
        <v>0.8204293528037625</v>
      </c>
      <c r="AJ35" s="64">
        <v>192952.30188724605</v>
      </c>
      <c r="AK35" s="64">
        <v>180177.65249070057</v>
      </c>
      <c r="AL35" s="65">
        <v>0.93379374450784991</v>
      </c>
      <c r="AM35" s="64">
        <v>64693.836162564759</v>
      </c>
      <c r="AN35" s="64">
        <v>42826.363947706166</v>
      </c>
      <c r="AO35" s="65">
        <v>0.66198522901147328</v>
      </c>
      <c r="AP35" s="66">
        <v>64923.308720335248</v>
      </c>
      <c r="AQ35" s="66">
        <v>36895.32172355707</v>
      </c>
      <c r="AR35" s="65">
        <v>0.56829084115980577</v>
      </c>
      <c r="AS35" s="64">
        <v>371998.8520432245</v>
      </c>
      <c r="AT35" s="64">
        <v>300452.82953671151</v>
      </c>
      <c r="AU35" s="67">
        <v>0.8076713890014916</v>
      </c>
      <c r="AV35" s="64">
        <v>37807.803974331786</v>
      </c>
      <c r="AW35" s="64">
        <v>43428.411305464826</v>
      </c>
      <c r="AX35" s="68">
        <v>1.1486626235935031</v>
      </c>
      <c r="AY35" s="64">
        <v>225379.38842574359</v>
      </c>
      <c r="AZ35" s="64">
        <v>206931.2951065425</v>
      </c>
      <c r="BA35" s="68">
        <v>0.91814649312849994</v>
      </c>
      <c r="BB35" s="64">
        <v>78437.807608024304</v>
      </c>
      <c r="BC35" s="64">
        <v>50839.536844469199</v>
      </c>
      <c r="BD35" s="68">
        <v>0.64815091592728602</v>
      </c>
      <c r="BE35" s="69">
        <v>69341.778976915783</v>
      </c>
      <c r="BF35" s="69">
        <v>44229.165607693023</v>
      </c>
      <c r="BG35" s="68">
        <v>0.63784296076997282</v>
      </c>
      <c r="BH35" s="64">
        <v>410966.77898501541</v>
      </c>
      <c r="BI35" s="64">
        <v>345428.40886416956</v>
      </c>
      <c r="BJ35" s="68">
        <v>0.84052635523798502</v>
      </c>
      <c r="BK35" s="70">
        <v>44928.98558345114</v>
      </c>
      <c r="BL35" s="70">
        <v>48948.825550862231</v>
      </c>
      <c r="BM35" s="71">
        <v>1.0894709710270363</v>
      </c>
      <c r="BN35" s="70">
        <v>288434.46416509082</v>
      </c>
      <c r="BO35" s="70">
        <v>246375.7523717935</v>
      </c>
      <c r="BP35" s="71">
        <v>0.85418277973458734</v>
      </c>
      <c r="BQ35" s="70">
        <v>96039.753063776807</v>
      </c>
      <c r="BR35" s="70">
        <v>66834.089376907184</v>
      </c>
      <c r="BS35" s="71">
        <v>0.69590026259776916</v>
      </c>
      <c r="BT35" s="70">
        <v>78531.369856790654</v>
      </c>
      <c r="BU35" s="70">
        <v>43858.454937574927</v>
      </c>
      <c r="BV35" s="71">
        <v>0.55848325347634897</v>
      </c>
      <c r="BW35" s="70">
        <v>507934.57266910939</v>
      </c>
      <c r="BX35" s="70">
        <v>406017.12223713787</v>
      </c>
      <c r="BY35" s="71">
        <v>0.79934925497114184</v>
      </c>
      <c r="BZ35" s="56">
        <v>46339.335074562565</v>
      </c>
      <c r="CA35" s="56">
        <v>42919.376440350934</v>
      </c>
      <c r="CB35" s="57">
        <v>0.92619750307792015</v>
      </c>
      <c r="CC35" s="56">
        <v>472371.16802494018</v>
      </c>
      <c r="CD35" s="56">
        <v>431476.88840379223</v>
      </c>
      <c r="CE35" s="57">
        <v>0.91342765522262181</v>
      </c>
      <c r="CF35" s="56">
        <v>136963.46839378061</v>
      </c>
      <c r="CG35" s="56">
        <v>99345.025712201284</v>
      </c>
      <c r="CH35" s="57">
        <v>0.725339587827731</v>
      </c>
      <c r="CI35" s="56">
        <v>77380.854199651891</v>
      </c>
      <c r="CJ35" s="56">
        <v>42102.976993147138</v>
      </c>
      <c r="CK35" s="57">
        <v>0.54410070073039518</v>
      </c>
      <c r="CL35" s="56">
        <v>733054.82569293538</v>
      </c>
      <c r="CM35" s="56">
        <v>615844.10262897145</v>
      </c>
      <c r="CN35" s="57">
        <v>0.84010647095438185</v>
      </c>
      <c r="CO35" s="72">
        <v>5727.9952736829073</v>
      </c>
      <c r="CP35" s="72">
        <v>773.64847619067632</v>
      </c>
      <c r="CQ35" s="73">
        <v>0.13506444038897514</v>
      </c>
      <c r="CR35" s="72">
        <v>555701.47408587544</v>
      </c>
      <c r="CS35" s="72">
        <v>484500.77016889572</v>
      </c>
      <c r="CT35" s="73">
        <v>0.87187238609704187</v>
      </c>
      <c r="CU35" s="72">
        <v>163961.91911902206</v>
      </c>
      <c r="CV35" s="72">
        <v>120731.207187964</v>
      </c>
      <c r="CW35" s="73">
        <v>0.73633687527360348</v>
      </c>
      <c r="CX35" s="72">
        <v>84908.012839062823</v>
      </c>
      <c r="CY35" s="72">
        <v>44850.201241382601</v>
      </c>
      <c r="CZ35" s="73">
        <v>0.52822106820934567</v>
      </c>
      <c r="DA35" s="72">
        <v>881493.86345374631</v>
      </c>
      <c r="DB35" s="72">
        <v>724494.96685371129</v>
      </c>
      <c r="DC35" s="73">
        <v>0.82189450986657597</v>
      </c>
      <c r="DD35" s="72">
        <v>34316.308088025253</v>
      </c>
      <c r="DE35" s="72">
        <v>33124.044443314502</v>
      </c>
      <c r="DF35" s="73">
        <v>0.96525664585909243</v>
      </c>
      <c r="DG35" s="72">
        <v>693768.42283872096</v>
      </c>
      <c r="DH35" s="72">
        <v>622904.55330241378</v>
      </c>
      <c r="DI35" s="73">
        <v>0.89785659421287789</v>
      </c>
      <c r="DJ35" s="72">
        <v>271680.49455733766</v>
      </c>
      <c r="DK35" s="72">
        <v>212492.36511412007</v>
      </c>
      <c r="DL35" s="73">
        <v>0.78214067395726838</v>
      </c>
      <c r="DM35" s="72">
        <v>168396.54110060036</v>
      </c>
      <c r="DN35" s="72">
        <v>133564.7542704689</v>
      </c>
      <c r="DO35" s="73">
        <v>0.79315616221996565</v>
      </c>
      <c r="DP35" s="72">
        <v>1168161.7665846841</v>
      </c>
      <c r="DQ35" s="72">
        <v>1002085.7171303176</v>
      </c>
      <c r="DR35" s="73">
        <v>0.85783129168837835</v>
      </c>
      <c r="DS35" s="72">
        <v>57360.057304561662</v>
      </c>
      <c r="DT35" s="72">
        <v>64076.454164288225</v>
      </c>
      <c r="DU35" s="73">
        <v>1.117091878483748</v>
      </c>
      <c r="DV35" s="72">
        <v>854167.65383240976</v>
      </c>
      <c r="DW35" s="72">
        <v>907022.41889416252</v>
      </c>
      <c r="DX35" s="73">
        <v>1.0618786778270148</v>
      </c>
      <c r="DY35" s="72">
        <v>334225.17115802126</v>
      </c>
      <c r="DZ35" s="72">
        <v>345113.80438791012</v>
      </c>
      <c r="EA35" s="73">
        <v>1.0325787348456192</v>
      </c>
      <c r="EB35" s="72">
        <v>166570.03660739333</v>
      </c>
      <c r="EC35" s="72">
        <v>168311.12293926909</v>
      </c>
      <c r="ED35" s="73">
        <v>1.0104525781907554</v>
      </c>
      <c r="EE35" s="72">
        <v>1412322.918902386</v>
      </c>
      <c r="EF35" s="72">
        <v>1484523.80038563</v>
      </c>
      <c r="EG35" s="73">
        <v>1.0511220773357954</v>
      </c>
    </row>
    <row r="36" spans="1:137" s="74" customFormat="1" x14ac:dyDescent="0.2">
      <c r="A36" s="27"/>
      <c r="B36" s="28" t="s">
        <v>59</v>
      </c>
      <c r="C36" s="61"/>
      <c r="D36" s="61"/>
      <c r="E36" s="62"/>
      <c r="F36" s="61"/>
      <c r="G36" s="61"/>
      <c r="H36" s="62"/>
      <c r="I36" s="61"/>
      <c r="J36" s="61"/>
      <c r="K36" s="62"/>
      <c r="L36" s="61"/>
      <c r="M36" s="61"/>
      <c r="N36" s="62"/>
      <c r="O36" s="61"/>
      <c r="P36" s="61"/>
      <c r="Q36" s="62"/>
      <c r="R36" s="63"/>
      <c r="S36" s="63"/>
      <c r="T36" s="62"/>
      <c r="U36" s="63"/>
      <c r="V36" s="63"/>
      <c r="W36" s="62"/>
      <c r="X36" s="63"/>
      <c r="Y36" s="63"/>
      <c r="Z36" s="62"/>
      <c r="AA36" s="63"/>
      <c r="AB36" s="63"/>
      <c r="AC36" s="62"/>
      <c r="AD36" s="63"/>
      <c r="AE36" s="63"/>
      <c r="AF36" s="62"/>
      <c r="AG36" s="64"/>
      <c r="AH36" s="64"/>
      <c r="AI36" s="65"/>
      <c r="AJ36" s="64"/>
      <c r="AK36" s="64"/>
      <c r="AL36" s="65"/>
      <c r="AM36" s="64"/>
      <c r="AN36" s="64"/>
      <c r="AO36" s="65"/>
      <c r="AP36" s="66"/>
      <c r="AQ36" s="66"/>
      <c r="AR36" s="65"/>
      <c r="AS36" s="64"/>
      <c r="AT36" s="64"/>
      <c r="AU36" s="67"/>
      <c r="AV36" s="64"/>
      <c r="AW36" s="64"/>
      <c r="AX36" s="68"/>
      <c r="AY36" s="64"/>
      <c r="AZ36" s="64"/>
      <c r="BA36" s="68"/>
      <c r="BB36" s="64"/>
      <c r="BC36" s="64"/>
      <c r="BD36" s="68"/>
      <c r="BE36" s="69"/>
      <c r="BF36" s="69"/>
      <c r="BG36" s="68"/>
      <c r="BH36" s="64"/>
      <c r="BI36" s="64"/>
      <c r="BJ36" s="68"/>
      <c r="BK36" s="70"/>
      <c r="BL36" s="70"/>
      <c r="BM36" s="71"/>
      <c r="BN36" s="70"/>
      <c r="BO36" s="70"/>
      <c r="BP36" s="71"/>
      <c r="BQ36" s="70"/>
      <c r="BR36" s="70"/>
      <c r="BS36" s="71"/>
      <c r="BT36" s="70"/>
      <c r="BU36" s="70"/>
      <c r="BV36" s="71"/>
      <c r="BW36" s="70"/>
      <c r="BX36" s="70"/>
      <c r="BY36" s="71"/>
      <c r="BZ36" s="56"/>
      <c r="CA36" s="56"/>
      <c r="CB36" s="57"/>
      <c r="CC36" s="56"/>
      <c r="CD36" s="56"/>
      <c r="CE36" s="57"/>
      <c r="CF36" s="56"/>
      <c r="CG36" s="56"/>
      <c r="CH36" s="57"/>
      <c r="CI36" s="56"/>
      <c r="CJ36" s="56"/>
      <c r="CK36" s="57"/>
      <c r="CL36" s="56"/>
      <c r="CM36" s="56"/>
      <c r="CN36" s="57"/>
      <c r="CO36" s="72"/>
      <c r="CP36" s="72"/>
      <c r="CQ36" s="73"/>
      <c r="CR36" s="72"/>
      <c r="CS36" s="72"/>
      <c r="CT36" s="73"/>
      <c r="CU36" s="72"/>
      <c r="CV36" s="72"/>
      <c r="CW36" s="73"/>
      <c r="CX36" s="72"/>
      <c r="CY36" s="72"/>
      <c r="CZ36" s="73"/>
      <c r="DA36" s="72"/>
      <c r="DB36" s="72"/>
      <c r="DC36" s="73"/>
      <c r="DD36" s="72"/>
      <c r="DE36" s="72"/>
      <c r="DF36" s="73"/>
      <c r="DG36" s="72"/>
      <c r="DH36" s="72"/>
      <c r="DI36" s="73"/>
      <c r="DJ36" s="72"/>
      <c r="DK36" s="72"/>
      <c r="DL36" s="73"/>
      <c r="DM36" s="72"/>
      <c r="DN36" s="72"/>
      <c r="DO36" s="73"/>
      <c r="DP36" s="72"/>
      <c r="DQ36" s="72"/>
      <c r="DR36" s="73"/>
      <c r="DS36" s="72"/>
      <c r="DT36" s="72"/>
      <c r="DU36" s="73"/>
      <c r="DV36" s="72"/>
      <c r="DW36" s="72"/>
      <c r="DX36" s="73"/>
      <c r="DY36" s="72"/>
      <c r="DZ36" s="72"/>
      <c r="EA36" s="73"/>
      <c r="EB36" s="72"/>
      <c r="EC36" s="72"/>
      <c r="ED36" s="73"/>
      <c r="EE36" s="72"/>
      <c r="EF36" s="72"/>
      <c r="EG36" s="73"/>
    </row>
    <row r="37" spans="1:137" s="74" customFormat="1" x14ac:dyDescent="0.2">
      <c r="A37" s="107">
        <v>26</v>
      </c>
      <c r="B37" s="89" t="s">
        <v>60</v>
      </c>
      <c r="C37" s="61"/>
      <c r="D37" s="61"/>
      <c r="E37" s="62"/>
      <c r="F37" s="61"/>
      <c r="G37" s="61"/>
      <c r="H37" s="62"/>
      <c r="I37" s="61"/>
      <c r="J37" s="61"/>
      <c r="K37" s="62"/>
      <c r="L37" s="61"/>
      <c r="M37" s="61"/>
      <c r="N37" s="62"/>
      <c r="O37" s="61"/>
      <c r="P37" s="61"/>
      <c r="Q37" s="62"/>
      <c r="R37" s="63"/>
      <c r="S37" s="63"/>
      <c r="T37" s="62"/>
      <c r="U37" s="63"/>
      <c r="V37" s="63"/>
      <c r="W37" s="62"/>
      <c r="X37" s="63"/>
      <c r="Y37" s="63"/>
      <c r="Z37" s="62"/>
      <c r="AA37" s="63"/>
      <c r="AB37" s="63"/>
      <c r="AC37" s="62"/>
      <c r="AD37" s="63"/>
      <c r="AE37" s="63"/>
      <c r="AF37" s="62"/>
      <c r="AG37" s="64"/>
      <c r="AH37" s="64"/>
      <c r="AI37" s="65"/>
      <c r="AJ37" s="64"/>
      <c r="AK37" s="64"/>
      <c r="AL37" s="65"/>
      <c r="AM37" s="64"/>
      <c r="AN37" s="64"/>
      <c r="AO37" s="65"/>
      <c r="AP37" s="66"/>
      <c r="AQ37" s="66"/>
      <c r="AR37" s="65"/>
      <c r="AS37" s="64"/>
      <c r="AT37" s="64"/>
      <c r="AU37" s="67"/>
      <c r="AV37" s="87"/>
      <c r="AW37" s="87"/>
      <c r="AX37" s="52"/>
      <c r="AY37" s="48">
        <v>1313.4268079879741</v>
      </c>
      <c r="AZ37" s="48">
        <v>1200.193651</v>
      </c>
      <c r="BA37" s="52">
        <v>0.91378799617967688</v>
      </c>
      <c r="BB37" s="48">
        <v>15.973665012621414</v>
      </c>
      <c r="BC37" s="48">
        <v>166.34859049284736</v>
      </c>
      <c r="BD37" s="52">
        <v>10.41392757150027</v>
      </c>
      <c r="BE37" s="53">
        <v>10.651245579113713</v>
      </c>
      <c r="BF37" s="53">
        <v>110.92130000715267</v>
      </c>
      <c r="BG37" s="52">
        <v>10.41392757150027</v>
      </c>
      <c r="BH37" s="48">
        <v>1340.0517185797094</v>
      </c>
      <c r="BI37" s="48">
        <v>1477.4635415</v>
      </c>
      <c r="BJ37" s="52">
        <v>1.1025421787943606</v>
      </c>
      <c r="BK37" s="54"/>
      <c r="BL37" s="54"/>
      <c r="BM37" s="55" t="s">
        <v>36</v>
      </c>
      <c r="BN37" s="54">
        <v>8899.5156492710848</v>
      </c>
      <c r="BO37" s="54">
        <v>11855.514340414345</v>
      </c>
      <c r="BP37" s="55">
        <v>1.3321527606264023</v>
      </c>
      <c r="BQ37" s="54">
        <v>2409.9637449773472</v>
      </c>
      <c r="BR37" s="54">
        <v>365.91623100000004</v>
      </c>
      <c r="BS37" s="55">
        <v>0.15183474513366155</v>
      </c>
      <c r="BT37" s="54">
        <v>1676.1726978123265</v>
      </c>
      <c r="BU37" s="54">
        <v>159.35503299999999</v>
      </c>
      <c r="BV37" s="55">
        <v>9.5070772366107503E-2</v>
      </c>
      <c r="BW37" s="54">
        <v>12985.652092060758</v>
      </c>
      <c r="BX37" s="54">
        <v>12380.785604414345</v>
      </c>
      <c r="BY37" s="55">
        <v>0.9534203994255922</v>
      </c>
      <c r="BZ37" s="56">
        <v>0</v>
      </c>
      <c r="CA37" s="56">
        <v>0</v>
      </c>
      <c r="CB37" s="57" t="s">
        <v>36</v>
      </c>
      <c r="CC37" s="56">
        <v>18059.269339999999</v>
      </c>
      <c r="CD37" s="56">
        <v>14742.197021358366</v>
      </c>
      <c r="CE37" s="57">
        <v>0.81632300531148549</v>
      </c>
      <c r="CF37" s="56">
        <v>8289.3612650946143</v>
      </c>
      <c r="CG37" s="56">
        <v>1307.6403147492742</v>
      </c>
      <c r="CH37" s="57">
        <v>0.15774922493191024</v>
      </c>
      <c r="CI37" s="56">
        <v>4510.5028449053843</v>
      </c>
      <c r="CJ37" s="56">
        <v>3113.6229692048919</v>
      </c>
      <c r="CK37" s="57">
        <v>0.69030506714383988</v>
      </c>
      <c r="CL37" s="56">
        <v>30859.133450000001</v>
      </c>
      <c r="CM37" s="56">
        <v>19163.460305312532</v>
      </c>
      <c r="CN37" s="57">
        <v>0.62099800489739709</v>
      </c>
      <c r="CO37" s="58">
        <v>0</v>
      </c>
      <c r="CP37" s="58">
        <v>0</v>
      </c>
      <c r="CQ37" s="59" t="s">
        <v>36</v>
      </c>
      <c r="CR37" s="58">
        <v>27184.853940000001</v>
      </c>
      <c r="CS37" s="58">
        <v>17455.6482</v>
      </c>
      <c r="CT37" s="59">
        <v>0.64210932449836067</v>
      </c>
      <c r="CU37" s="58">
        <v>14276.7145942395</v>
      </c>
      <c r="CV37" s="58">
        <v>6798.3793588990102</v>
      </c>
      <c r="CW37" s="59">
        <v>0.47618654236052899</v>
      </c>
      <c r="CX37" s="58">
        <v>8223.9400057604798</v>
      </c>
      <c r="CY37" s="58">
        <v>2489.1805146904003</v>
      </c>
      <c r="CZ37" s="59">
        <v>0.30267493597312811</v>
      </c>
      <c r="DA37" s="58">
        <v>49685.508539999981</v>
      </c>
      <c r="DB37" s="58">
        <v>26743.208073589412</v>
      </c>
      <c r="DC37" s="59">
        <v>0.53824965989951445</v>
      </c>
      <c r="DD37" s="58">
        <v>0</v>
      </c>
      <c r="DE37" s="58">
        <v>0</v>
      </c>
      <c r="DF37" s="59" t="s">
        <v>36</v>
      </c>
      <c r="DG37" s="58">
        <v>40469.998628806628</v>
      </c>
      <c r="DH37" s="58">
        <v>22643.643429633466</v>
      </c>
      <c r="DI37" s="59">
        <v>0.55951678272397254</v>
      </c>
      <c r="DJ37" s="58">
        <v>19710.421925593277</v>
      </c>
      <c r="DK37" s="58">
        <v>11661.962354750009</v>
      </c>
      <c r="DL37" s="59">
        <v>0.59166477505016613</v>
      </c>
      <c r="DM37" s="58">
        <v>12909.488832958295</v>
      </c>
      <c r="DN37" s="58">
        <v>5726.6663742316796</v>
      </c>
      <c r="DO37" s="59">
        <v>0.44360132677068792</v>
      </c>
      <c r="DP37" s="58">
        <v>73089.909387358202</v>
      </c>
      <c r="DQ37" s="58">
        <v>40032.272158615153</v>
      </c>
      <c r="DR37" s="59">
        <v>0.54771270746080891</v>
      </c>
      <c r="DS37" s="58"/>
      <c r="DT37" s="58"/>
      <c r="DU37" s="59" t="s">
        <v>36</v>
      </c>
      <c r="DV37" s="58">
        <v>61916.701612122219</v>
      </c>
      <c r="DW37" s="58">
        <v>49518.944164049797</v>
      </c>
      <c r="DX37" s="59">
        <v>0.79976715288003719</v>
      </c>
      <c r="DY37" s="58">
        <v>25950.541600274948</v>
      </c>
      <c r="DZ37" s="58">
        <v>21625.846975223478</v>
      </c>
      <c r="EA37" s="59">
        <v>0.83334857932191864</v>
      </c>
      <c r="EB37" s="58">
        <v>16747.603541974309</v>
      </c>
      <c r="EC37" s="58">
        <v>10331.379519955264</v>
      </c>
      <c r="ED37" s="59">
        <v>0.61688703664747357</v>
      </c>
      <c r="EE37" s="58">
        <v>104614.84675437148</v>
      </c>
      <c r="EF37" s="58">
        <v>81476.170659228548</v>
      </c>
      <c r="EG37" s="59">
        <v>0.77882034134723765</v>
      </c>
    </row>
    <row r="38" spans="1:137" x14ac:dyDescent="0.2">
      <c r="A38" s="41">
        <v>27</v>
      </c>
      <c r="B38" s="42" t="s">
        <v>61</v>
      </c>
      <c r="C38" s="43">
        <v>48.688340200000006</v>
      </c>
      <c r="D38" s="43">
        <v>8.1066699999999994</v>
      </c>
      <c r="E38" s="44">
        <v>0.16650126019288697</v>
      </c>
      <c r="F38" s="43">
        <v>5348.7379108849254</v>
      </c>
      <c r="G38" s="43">
        <v>5200.0550197896264</v>
      </c>
      <c r="H38" s="44">
        <v>0.97220224778770281</v>
      </c>
      <c r="I38" s="43">
        <v>1716.5229113945081</v>
      </c>
      <c r="J38" s="43">
        <v>653.72348152928998</v>
      </c>
      <c r="K38" s="44">
        <v>0.3808416871046616</v>
      </c>
      <c r="L38" s="43">
        <v>941.37603462054562</v>
      </c>
      <c r="M38" s="43">
        <v>319.14891402895313</v>
      </c>
      <c r="N38" s="44">
        <v>0.33902383563184418</v>
      </c>
      <c r="O38" s="43">
        <v>8055.3251970999791</v>
      </c>
      <c r="P38" s="43">
        <v>6181.0340853478692</v>
      </c>
      <c r="Q38" s="44">
        <v>0.76732272553976111</v>
      </c>
      <c r="R38" s="45">
        <v>323.61661979999997</v>
      </c>
      <c r="S38" s="45">
        <v>240.958222754703</v>
      </c>
      <c r="T38" s="46">
        <v>0.74457925833234051</v>
      </c>
      <c r="U38" s="47">
        <v>6368.7349822449623</v>
      </c>
      <c r="V38" s="47">
        <v>6036.7760147878007</v>
      </c>
      <c r="W38" s="46">
        <v>0.94787678112174378</v>
      </c>
      <c r="X38" s="47">
        <v>5041.2076503000699</v>
      </c>
      <c r="Y38" s="47">
        <v>1956.1126325468001</v>
      </c>
      <c r="Z38" s="46">
        <v>0.38802461002183986</v>
      </c>
      <c r="AA38" s="47">
        <v>3183.0407476510086</v>
      </c>
      <c r="AB38" s="47">
        <v>838.24870584514008</v>
      </c>
      <c r="AC38" s="46">
        <v>0.26334840559730288</v>
      </c>
      <c r="AD38" s="47">
        <v>14916.59999999604</v>
      </c>
      <c r="AE38" s="47">
        <v>9072.0955759344433</v>
      </c>
      <c r="AF38" s="46">
        <v>0.60818789643329252</v>
      </c>
      <c r="AG38" s="48">
        <v>484.45495210000007</v>
      </c>
      <c r="AH38" s="48">
        <v>86.34</v>
      </c>
      <c r="AI38" s="49">
        <v>0.17822090501033397</v>
      </c>
      <c r="AJ38" s="48">
        <v>12785.921663817526</v>
      </c>
      <c r="AK38" s="48">
        <v>10494.3</v>
      </c>
      <c r="AL38" s="49">
        <v>0.82076992773211543</v>
      </c>
      <c r="AM38" s="48">
        <v>7135.4940899382364</v>
      </c>
      <c r="AN38" s="48">
        <v>2908.4066053915449</v>
      </c>
      <c r="AO38" s="49">
        <v>0.40759708700378444</v>
      </c>
      <c r="AP38" s="50">
        <v>5152.7876424620054</v>
      </c>
      <c r="AQ38" s="50">
        <v>1594.2933946084545</v>
      </c>
      <c r="AR38" s="49">
        <v>0.30940405567474544</v>
      </c>
      <c r="AS38" s="48">
        <v>25558.658348317767</v>
      </c>
      <c r="AT38" s="48">
        <v>15083.34</v>
      </c>
      <c r="AU38" s="51">
        <v>0.59014600040587661</v>
      </c>
      <c r="AV38" s="48">
        <v>482.93618929964805</v>
      </c>
      <c r="AW38" s="48">
        <v>873.10952070476503</v>
      </c>
      <c r="AX38" s="52">
        <v>1.8079190171499564</v>
      </c>
      <c r="AY38" s="48">
        <v>15070.219204562936</v>
      </c>
      <c r="AZ38" s="48">
        <v>14203.9506100943</v>
      </c>
      <c r="BA38" s="52">
        <v>0.94251785042341329</v>
      </c>
      <c r="BB38" s="48">
        <v>13801.623942392207</v>
      </c>
      <c r="BC38" s="48">
        <v>5208.7056574839307</v>
      </c>
      <c r="BD38" s="52">
        <v>0.37739802788606602</v>
      </c>
      <c r="BE38" s="53">
        <v>12787.642663745213</v>
      </c>
      <c r="BF38" s="53">
        <v>2024.922213983579</v>
      </c>
      <c r="BG38" s="52">
        <v>0.15834992165714185</v>
      </c>
      <c r="BH38" s="48">
        <v>42142.422000000006</v>
      </c>
      <c r="BI38" s="48">
        <v>22310.688002266575</v>
      </c>
      <c r="BJ38" s="52">
        <v>0.52941162238531458</v>
      </c>
      <c r="BK38" s="54">
        <v>725.17067130448459</v>
      </c>
      <c r="BL38" s="54">
        <v>1025.1221089000003</v>
      </c>
      <c r="BM38" s="55">
        <v>1.4136287490170325</v>
      </c>
      <c r="BN38" s="54">
        <v>24131.276742037386</v>
      </c>
      <c r="BO38" s="54">
        <v>20299.529045708139</v>
      </c>
      <c r="BP38" s="55">
        <v>0.8412123926433519</v>
      </c>
      <c r="BQ38" s="54">
        <v>19547.686261066963</v>
      </c>
      <c r="BR38" s="54">
        <v>8204.3282718617411</v>
      </c>
      <c r="BS38" s="55">
        <v>0.41970840754704886</v>
      </c>
      <c r="BT38" s="54">
        <v>12645.952082468504</v>
      </c>
      <c r="BU38" s="54">
        <v>2948.4141734645327</v>
      </c>
      <c r="BV38" s="55">
        <v>0.23315082599055673</v>
      </c>
      <c r="BW38" s="54">
        <v>57050.085756877335</v>
      </c>
      <c r="BX38" s="54">
        <v>32477.39359993441</v>
      </c>
      <c r="BY38" s="55">
        <v>0.56927861140014657</v>
      </c>
      <c r="BZ38" s="56">
        <v>3460.5999440394698</v>
      </c>
      <c r="CA38" s="56">
        <v>5340.801849349843</v>
      </c>
      <c r="CB38" s="57">
        <v>1.5433167473023945</v>
      </c>
      <c r="CC38" s="56">
        <v>41747.439308591565</v>
      </c>
      <c r="CD38" s="56">
        <v>32072.01601969016</v>
      </c>
      <c r="CE38" s="57">
        <v>0.76823911959289404</v>
      </c>
      <c r="CF38" s="56">
        <v>29307.52811688817</v>
      </c>
      <c r="CG38" s="56">
        <v>10766.553865668513</v>
      </c>
      <c r="CH38" s="57">
        <v>0.36736478841640668</v>
      </c>
      <c r="CI38" s="56">
        <v>17659.139649095239</v>
      </c>
      <c r="CJ38" s="56">
        <v>6916.586504938834</v>
      </c>
      <c r="CK38" s="57">
        <v>0.3916717712401806</v>
      </c>
      <c r="CL38" s="56">
        <v>92174.707018614456</v>
      </c>
      <c r="CM38" s="56">
        <v>55095.958239647356</v>
      </c>
      <c r="CN38" s="57">
        <v>0.59773402077123894</v>
      </c>
      <c r="CO38" s="58">
        <v>13534.1426773275</v>
      </c>
      <c r="CP38" s="58">
        <v>11127.045272551501</v>
      </c>
      <c r="CQ38" s="59">
        <v>0.8221462960628908</v>
      </c>
      <c r="CR38" s="58">
        <v>51695.848415309898</v>
      </c>
      <c r="CS38" s="58">
        <v>41527.734150754797</v>
      </c>
      <c r="CT38" s="59">
        <v>0.80330888115294419</v>
      </c>
      <c r="CU38" s="58">
        <v>40049.041540183302</v>
      </c>
      <c r="CV38" s="58">
        <v>15890.4053817857</v>
      </c>
      <c r="CW38" s="59">
        <v>0.39677367474180436</v>
      </c>
      <c r="CX38" s="58">
        <v>24604.879597712003</v>
      </c>
      <c r="CY38" s="58">
        <v>13079.621015422899</v>
      </c>
      <c r="CZ38" s="59">
        <v>0.53158646696402323</v>
      </c>
      <c r="DA38" s="58">
        <v>129883.9122305327</v>
      </c>
      <c r="DB38" s="58">
        <v>81624.805820514899</v>
      </c>
      <c r="DC38" s="59">
        <v>0.62844431168378989</v>
      </c>
      <c r="DD38" s="58">
        <v>0</v>
      </c>
      <c r="DE38" s="58">
        <v>-1117.5175969999925</v>
      </c>
      <c r="DF38" s="59" t="s">
        <v>36</v>
      </c>
      <c r="DG38" s="58">
        <v>60307.791808822731</v>
      </c>
      <c r="DH38" s="58">
        <v>44151.611610779168</v>
      </c>
      <c r="DI38" s="59">
        <v>0.73210459687764606</v>
      </c>
      <c r="DJ38" s="58">
        <v>35485.220423944738</v>
      </c>
      <c r="DK38" s="58">
        <v>28677.077506187321</v>
      </c>
      <c r="DL38" s="59">
        <v>0.80814145054138042</v>
      </c>
      <c r="DM38" s="58">
        <v>54513.303329900904</v>
      </c>
      <c r="DN38" s="58">
        <v>16235.886212115156</v>
      </c>
      <c r="DO38" s="59">
        <v>0.29783346853628784</v>
      </c>
      <c r="DP38" s="58">
        <v>150306.31556266837</v>
      </c>
      <c r="DQ38" s="58">
        <v>87947.057732081652</v>
      </c>
      <c r="DR38" s="59">
        <v>0.58511884482600607</v>
      </c>
      <c r="DS38" s="58">
        <v>0</v>
      </c>
      <c r="DT38" s="58">
        <v>-388.2144416250074</v>
      </c>
      <c r="DU38" s="59" t="s">
        <v>36</v>
      </c>
      <c r="DV38" s="58">
        <v>83533.901610199988</v>
      </c>
      <c r="DW38" s="58">
        <v>68579.125319793049</v>
      </c>
      <c r="DX38" s="59">
        <v>0.82097356878897576</v>
      </c>
      <c r="DY38" s="58">
        <v>78194.2507759</v>
      </c>
      <c r="DZ38" s="58">
        <v>52841.613110722654</v>
      </c>
      <c r="EA38" s="59">
        <v>0.67577363535541157</v>
      </c>
      <c r="EB38" s="58">
        <v>52161.162190100003</v>
      </c>
      <c r="EC38" s="58">
        <v>30074.588966842308</v>
      </c>
      <c r="ED38" s="59">
        <v>0.57657053071854969</v>
      </c>
      <c r="EE38" s="58">
        <v>213889.31457619998</v>
      </c>
      <c r="EF38" s="58">
        <v>151107.112955733</v>
      </c>
      <c r="EG38" s="59">
        <v>0.70647340777699175</v>
      </c>
    </row>
    <row r="39" spans="1:137" x14ac:dyDescent="0.2">
      <c r="A39" s="107">
        <v>28</v>
      </c>
      <c r="B39" s="42" t="s">
        <v>62</v>
      </c>
      <c r="C39" s="43">
        <v>1538.9928063</v>
      </c>
      <c r="D39" s="43">
        <v>854.28714099999991</v>
      </c>
      <c r="E39" s="44">
        <v>0.55509495398737518</v>
      </c>
      <c r="F39" s="43">
        <v>16360.4061375</v>
      </c>
      <c r="G39" s="43">
        <v>15233.807269700001</v>
      </c>
      <c r="H39" s="44">
        <v>0.93113869800470905</v>
      </c>
      <c r="I39" s="43">
        <v>21783.714941456641</v>
      </c>
      <c r="J39" s="43">
        <v>11622.850337565838</v>
      </c>
      <c r="K39" s="44">
        <v>0.53355685055565816</v>
      </c>
      <c r="L39" s="43">
        <v>12277.699214543367</v>
      </c>
      <c r="M39" s="43">
        <v>7474.0801837341633</v>
      </c>
      <c r="N39" s="44">
        <v>0.60875250754480548</v>
      </c>
      <c r="O39" s="43">
        <v>51960.813099800005</v>
      </c>
      <c r="P39" s="43">
        <v>35185.024932</v>
      </c>
      <c r="Q39" s="44">
        <v>0.67714538770632571</v>
      </c>
      <c r="R39" s="45">
        <v>315.46989889999998</v>
      </c>
      <c r="S39" s="45">
        <v>37.542555</v>
      </c>
      <c r="T39" s="46">
        <v>0.11900518918256769</v>
      </c>
      <c r="U39" s="93">
        <v>19404.932196999998</v>
      </c>
      <c r="V39" s="93">
        <v>16593.648037800001</v>
      </c>
      <c r="W39" s="46">
        <v>0.85512527791080761</v>
      </c>
      <c r="X39" s="93">
        <v>27266.380667003345</v>
      </c>
      <c r="Y39" s="93">
        <v>14901.237892803896</v>
      </c>
      <c r="Z39" s="46">
        <v>0.54650589951004247</v>
      </c>
      <c r="AA39" s="93">
        <v>14901.696284196649</v>
      </c>
      <c r="AB39" s="93">
        <v>9047.9343294225237</v>
      </c>
      <c r="AC39" s="46">
        <v>0.60717479116910467</v>
      </c>
      <c r="AD39" s="93">
        <v>61888.479047099987</v>
      </c>
      <c r="AE39" s="93">
        <v>40580.362815026419</v>
      </c>
      <c r="AF39" s="46">
        <v>0.65570140743227656</v>
      </c>
      <c r="AG39" s="48">
        <v>0</v>
      </c>
      <c r="AH39" s="48">
        <v>17.690000000000001</v>
      </c>
      <c r="AI39" s="49">
        <v>0</v>
      </c>
      <c r="AJ39" s="48">
        <v>25106.83</v>
      </c>
      <c r="AK39" s="48">
        <v>20856.97</v>
      </c>
      <c r="AL39" s="49">
        <v>0.83072892913999896</v>
      </c>
      <c r="AM39" s="48">
        <v>25309.43</v>
      </c>
      <c r="AN39" s="48">
        <v>15569.98</v>
      </c>
      <c r="AO39" s="49">
        <v>0.61518493304669442</v>
      </c>
      <c r="AP39" s="50">
        <v>21050.27</v>
      </c>
      <c r="AQ39" s="50">
        <v>12502.59</v>
      </c>
      <c r="AR39" s="49">
        <v>0.59393965018025896</v>
      </c>
      <c r="AS39" s="48">
        <v>71466.53</v>
      </c>
      <c r="AT39" s="48">
        <v>48947.23</v>
      </c>
      <c r="AU39" s="51">
        <v>0.68489725190239403</v>
      </c>
      <c r="AV39" s="87">
        <v>0</v>
      </c>
      <c r="AW39" s="87">
        <v>1.9</v>
      </c>
      <c r="AX39" s="52">
        <v>0</v>
      </c>
      <c r="AY39" s="48">
        <v>35550.57</v>
      </c>
      <c r="AZ39" s="48">
        <v>26203.940000000002</v>
      </c>
      <c r="BA39" s="52">
        <v>0.7370891662215262</v>
      </c>
      <c r="BB39" s="48">
        <v>40173.919999999998</v>
      </c>
      <c r="BC39" s="48">
        <v>20518.990000000002</v>
      </c>
      <c r="BD39" s="52">
        <v>0.51075399164433055</v>
      </c>
      <c r="BE39" s="53">
        <v>25457.7</v>
      </c>
      <c r="BF39" s="53">
        <v>12622.64</v>
      </c>
      <c r="BG39" s="52">
        <v>0.49582798131802946</v>
      </c>
      <c r="BH39" s="48">
        <v>101182.18999999999</v>
      </c>
      <c r="BI39" s="48">
        <v>59347.47</v>
      </c>
      <c r="BJ39" s="52">
        <v>0.58654067479662186</v>
      </c>
      <c r="BK39" s="54"/>
      <c r="BL39" s="54"/>
      <c r="BM39" s="55" t="s">
        <v>36</v>
      </c>
      <c r="BN39" s="54">
        <v>40705.887936899999</v>
      </c>
      <c r="BO39" s="54">
        <v>33784.132746199997</v>
      </c>
      <c r="BP39" s="55">
        <v>0.82995690447952586</v>
      </c>
      <c r="BQ39" s="54">
        <v>51760.158817799987</v>
      </c>
      <c r="BR39" s="54">
        <v>30230.511661999997</v>
      </c>
      <c r="BS39" s="55">
        <v>0.58404982427534435</v>
      </c>
      <c r="BT39" s="54">
        <v>21914.724637200001</v>
      </c>
      <c r="BU39" s="54">
        <v>13267.342584600001</v>
      </c>
      <c r="BV39" s="55">
        <v>0.6054076792769203</v>
      </c>
      <c r="BW39" s="54">
        <v>114380.77139189999</v>
      </c>
      <c r="BX39" s="54">
        <v>77281.986992799997</v>
      </c>
      <c r="BY39" s="55">
        <v>0.67565541001651974</v>
      </c>
      <c r="BZ39" s="56">
        <v>492.13936799999999</v>
      </c>
      <c r="CA39" s="56">
        <v>525.71919779999996</v>
      </c>
      <c r="CB39" s="57">
        <v>1.0682323585216615</v>
      </c>
      <c r="CC39" s="56">
        <v>50995.921213400004</v>
      </c>
      <c r="CD39" s="56">
        <v>41489.067446100002</v>
      </c>
      <c r="CE39" s="57">
        <v>0.8135761931328358</v>
      </c>
      <c r="CF39" s="56">
        <v>71096.110243000003</v>
      </c>
      <c r="CG39" s="56">
        <v>43590.115945799997</v>
      </c>
      <c r="CH39" s="57">
        <v>0.61311534199006057</v>
      </c>
      <c r="CI39" s="56">
        <v>27364.767028800012</v>
      </c>
      <c r="CJ39" s="56">
        <v>15651.184344499998</v>
      </c>
      <c r="CK39" s="57">
        <v>0.57194655916594983</v>
      </c>
      <c r="CL39" s="56">
        <v>149948.93785320001</v>
      </c>
      <c r="CM39" s="56">
        <v>101256.08693419999</v>
      </c>
      <c r="CN39" s="57">
        <v>0.67527045128742214</v>
      </c>
      <c r="CO39" s="58">
        <v>502.09137100000004</v>
      </c>
      <c r="CP39" s="58">
        <v>342.17572590000003</v>
      </c>
      <c r="CQ39" s="59">
        <v>0.68150090932353424</v>
      </c>
      <c r="CR39" s="58">
        <v>60257.325450700009</v>
      </c>
      <c r="CS39" s="58">
        <v>59186.930156799994</v>
      </c>
      <c r="CT39" s="59">
        <v>0.98223626279636711</v>
      </c>
      <c r="CU39" s="58">
        <v>84646.498410200002</v>
      </c>
      <c r="CV39" s="58">
        <v>58187.646193500012</v>
      </c>
      <c r="CW39" s="59">
        <v>0.68741941233671078</v>
      </c>
      <c r="CX39" s="58">
        <v>31377.957511200009</v>
      </c>
      <c r="CY39" s="58">
        <v>19934.551251499994</v>
      </c>
      <c r="CZ39" s="59">
        <v>0.63530429743187011</v>
      </c>
      <c r="DA39" s="58">
        <v>176783.87274310002</v>
      </c>
      <c r="DB39" s="58">
        <v>137651.30332770001</v>
      </c>
      <c r="DC39" s="59">
        <v>0.77864174594553126</v>
      </c>
      <c r="DD39" s="58">
        <v>0</v>
      </c>
      <c r="DE39" s="58">
        <v>0</v>
      </c>
      <c r="DF39" s="59" t="s">
        <v>36</v>
      </c>
      <c r="DG39" s="58">
        <v>0</v>
      </c>
      <c r="DH39" s="58">
        <v>0</v>
      </c>
      <c r="DI39" s="59" t="s">
        <v>36</v>
      </c>
      <c r="DJ39" s="58">
        <v>0</v>
      </c>
      <c r="DK39" s="58">
        <v>0</v>
      </c>
      <c r="DL39" s="59" t="s">
        <v>36</v>
      </c>
      <c r="DM39" s="58">
        <v>0</v>
      </c>
      <c r="DN39" s="58">
        <v>0</v>
      </c>
      <c r="DO39" s="59" t="s">
        <v>36</v>
      </c>
      <c r="DP39" s="58">
        <v>0</v>
      </c>
      <c r="DQ39" s="58">
        <v>0</v>
      </c>
      <c r="DR39" s="59" t="s">
        <v>36</v>
      </c>
      <c r="DS39" s="58"/>
      <c r="DT39" s="58"/>
      <c r="DU39" s="59"/>
      <c r="DV39" s="58"/>
      <c r="DW39" s="58"/>
      <c r="DX39" s="59"/>
      <c r="DY39" s="58"/>
      <c r="DZ39" s="58"/>
      <c r="EA39" s="59"/>
      <c r="EB39" s="58"/>
      <c r="EC39" s="58"/>
      <c r="ED39" s="59"/>
      <c r="EE39" s="58"/>
      <c r="EF39" s="58"/>
      <c r="EG39" s="59"/>
    </row>
    <row r="40" spans="1:137" x14ac:dyDescent="0.2">
      <c r="A40" s="41">
        <v>29</v>
      </c>
      <c r="B40" s="75" t="s">
        <v>63</v>
      </c>
      <c r="C40" s="43"/>
      <c r="D40" s="43"/>
      <c r="E40" s="44"/>
      <c r="F40" s="43"/>
      <c r="G40" s="43"/>
      <c r="H40" s="44"/>
      <c r="I40" s="43">
        <v>23.37</v>
      </c>
      <c r="J40" s="43">
        <v>0</v>
      </c>
      <c r="K40" s="44">
        <v>0</v>
      </c>
      <c r="L40" s="43">
        <v>14.32</v>
      </c>
      <c r="M40" s="43">
        <v>0</v>
      </c>
      <c r="N40" s="44">
        <v>0</v>
      </c>
      <c r="O40" s="43">
        <v>37.69</v>
      </c>
      <c r="P40" s="43">
        <v>0</v>
      </c>
      <c r="Q40" s="44">
        <v>0</v>
      </c>
      <c r="R40" s="45"/>
      <c r="S40" s="45"/>
      <c r="T40" s="46"/>
      <c r="U40" s="47">
        <v>183.64460669945169</v>
      </c>
      <c r="V40" s="47">
        <v>128.55122696499998</v>
      </c>
      <c r="W40" s="46">
        <v>0.70000001239014775</v>
      </c>
      <c r="X40" s="47">
        <v>323.4285167183088</v>
      </c>
      <c r="Y40" s="47">
        <v>200.0776596</v>
      </c>
      <c r="Z40" s="46">
        <v>0.61861477655125363</v>
      </c>
      <c r="AA40" s="47">
        <v>158.59228172713901</v>
      </c>
      <c r="AB40" s="47">
        <v>99.746862300000004</v>
      </c>
      <c r="AC40" s="46">
        <v>0.62895155560985216</v>
      </c>
      <c r="AD40" s="93">
        <v>665.66540514489952</v>
      </c>
      <c r="AE40" s="93">
        <v>428.37574886499999</v>
      </c>
      <c r="AF40" s="46">
        <v>0.64353013624277622</v>
      </c>
      <c r="AG40" s="48"/>
      <c r="AH40" s="48"/>
      <c r="AI40" s="49"/>
      <c r="AJ40" s="48">
        <v>3656.3584663394809</v>
      </c>
      <c r="AK40" s="48">
        <v>2526.5786666413478</v>
      </c>
      <c r="AL40" s="49">
        <v>0.69100956317633744</v>
      </c>
      <c r="AM40" s="48">
        <v>2019.3027689814126</v>
      </c>
      <c r="AN40" s="48">
        <v>724.55287800000463</v>
      </c>
      <c r="AO40" s="49">
        <v>0.3588133929838998</v>
      </c>
      <c r="AP40" s="50">
        <v>1262.3967163867924</v>
      </c>
      <c r="AQ40" s="50">
        <v>479.3571174999995</v>
      </c>
      <c r="AR40" s="49">
        <v>0.37971987036848942</v>
      </c>
      <c r="AS40" s="48">
        <v>6938.0579517076858</v>
      </c>
      <c r="AT40" s="48">
        <v>3730.4886621413516</v>
      </c>
      <c r="AU40" s="51">
        <v>0.53768485188613258</v>
      </c>
      <c r="AV40" s="87"/>
      <c r="AW40" s="87"/>
      <c r="AX40" s="52"/>
      <c r="AY40" s="48">
        <v>3735.5033968699004</v>
      </c>
      <c r="AZ40" s="48">
        <v>4113.5314383608074</v>
      </c>
      <c r="BA40" s="52">
        <v>1.1011986876541644</v>
      </c>
      <c r="BB40" s="48">
        <v>6130.0926927314158</v>
      </c>
      <c r="BC40" s="48">
        <v>1989.0572531415576</v>
      </c>
      <c r="BD40" s="52">
        <v>0.32447425395378215</v>
      </c>
      <c r="BE40" s="53">
        <v>7005.1115621648978</v>
      </c>
      <c r="BF40" s="53">
        <v>2384.7401065184463</v>
      </c>
      <c r="BG40" s="52">
        <v>0.34042856924629095</v>
      </c>
      <c r="BH40" s="48">
        <v>16870.707651766214</v>
      </c>
      <c r="BI40" s="48">
        <v>8487.3287980208115</v>
      </c>
      <c r="BJ40" s="52">
        <v>0.50308078198084738</v>
      </c>
      <c r="BK40" s="54"/>
      <c r="BL40" s="54"/>
      <c r="BM40" s="55" t="s">
        <v>36</v>
      </c>
      <c r="BN40" s="54">
        <v>7242.073540536604</v>
      </c>
      <c r="BO40" s="54">
        <v>4306.6074278040551</v>
      </c>
      <c r="BP40" s="55">
        <v>0.59466496766407528</v>
      </c>
      <c r="BQ40" s="54">
        <v>9378.5150267415265</v>
      </c>
      <c r="BR40" s="54">
        <v>4681.0741237054062</v>
      </c>
      <c r="BS40" s="55">
        <v>0.49912743225958234</v>
      </c>
      <c r="BT40" s="54">
        <v>8418.3094169420056</v>
      </c>
      <c r="BU40" s="54">
        <v>3131.6851052409511</v>
      </c>
      <c r="BV40" s="55">
        <v>0.37200879061755299</v>
      </c>
      <c r="BW40" s="54">
        <v>25038.897984220137</v>
      </c>
      <c r="BX40" s="54">
        <v>12119.366656750411</v>
      </c>
      <c r="BY40" s="55">
        <v>0.48402156773785354</v>
      </c>
      <c r="BZ40" s="56">
        <v>0</v>
      </c>
      <c r="CA40" s="56">
        <v>0</v>
      </c>
      <c r="CB40" s="57" t="s">
        <v>36</v>
      </c>
      <c r="CC40" s="56">
        <v>14617.245525756254</v>
      </c>
      <c r="CD40" s="56">
        <v>11574.020581749377</v>
      </c>
      <c r="CE40" s="57">
        <v>0.79180585434892126</v>
      </c>
      <c r="CF40" s="56">
        <v>13457.724395581305</v>
      </c>
      <c r="CG40" s="56">
        <v>8357.3803895283963</v>
      </c>
      <c r="CH40" s="57">
        <v>0.62100992291627333</v>
      </c>
      <c r="CI40" s="56">
        <v>9565.1683616242299</v>
      </c>
      <c r="CJ40" s="56">
        <v>4062.9095352954118</v>
      </c>
      <c r="CK40" s="57">
        <v>0.42476090139677403</v>
      </c>
      <c r="CL40" s="56">
        <v>37640.138282961787</v>
      </c>
      <c r="CM40" s="56">
        <v>23994.310506573187</v>
      </c>
      <c r="CN40" s="57">
        <v>0.63746605621357322</v>
      </c>
      <c r="CO40" s="58">
        <v>0</v>
      </c>
      <c r="CP40" s="58">
        <v>0</v>
      </c>
      <c r="CQ40" s="59" t="s">
        <v>36</v>
      </c>
      <c r="CR40" s="58">
        <v>21693.0911632803</v>
      </c>
      <c r="CS40" s="58">
        <v>14606.994907111399</v>
      </c>
      <c r="CT40" s="59">
        <v>0.67334778603782053</v>
      </c>
      <c r="CU40" s="58">
        <v>15637.797031096399</v>
      </c>
      <c r="CV40" s="58">
        <v>9829.8739850824586</v>
      </c>
      <c r="CW40" s="59">
        <v>0.62859710773425126</v>
      </c>
      <c r="CX40" s="58">
        <v>11870.224675539501</v>
      </c>
      <c r="CY40" s="58">
        <v>6439.8753711233494</v>
      </c>
      <c r="CZ40" s="59">
        <v>0.54252346077271341</v>
      </c>
      <c r="DA40" s="58">
        <v>49201.1128699162</v>
      </c>
      <c r="DB40" s="58">
        <v>30876.74426331721</v>
      </c>
      <c r="DC40" s="59">
        <v>0.62756190789734467</v>
      </c>
      <c r="DD40" s="58">
        <v>0</v>
      </c>
      <c r="DE40" s="58">
        <v>0</v>
      </c>
      <c r="DF40" s="59" t="s">
        <v>36</v>
      </c>
      <c r="DG40" s="58">
        <v>28722.282054716088</v>
      </c>
      <c r="DH40" s="58">
        <v>16653.196599805346</v>
      </c>
      <c r="DI40" s="59">
        <v>0.5798006080464263</v>
      </c>
      <c r="DJ40" s="58">
        <v>16926.61242130625</v>
      </c>
      <c r="DK40" s="58">
        <v>11616.209423574459</v>
      </c>
      <c r="DL40" s="59">
        <v>0.68626900258864787</v>
      </c>
      <c r="DM40" s="58">
        <v>16564.681600117769</v>
      </c>
      <c r="DN40" s="58">
        <v>10278.439772907446</v>
      </c>
      <c r="DO40" s="59">
        <v>0.62050331066033715</v>
      </c>
      <c r="DP40" s="58">
        <v>62213.576076140103</v>
      </c>
      <c r="DQ40" s="58">
        <v>38547.845796287249</v>
      </c>
      <c r="DR40" s="59">
        <v>0.61960504808645711</v>
      </c>
      <c r="DS40" s="58"/>
      <c r="DT40" s="58"/>
      <c r="DU40" s="59" t="s">
        <v>36</v>
      </c>
      <c r="DV40" s="58">
        <v>40297.586643847753</v>
      </c>
      <c r="DW40" s="58">
        <v>28332.29462895498</v>
      </c>
      <c r="DX40" s="59">
        <v>0.70307670976322556</v>
      </c>
      <c r="DY40" s="58">
        <v>18434.957463724102</v>
      </c>
      <c r="DZ40" s="58">
        <v>18722.290015588602</v>
      </c>
      <c r="EA40" s="59">
        <v>1.015586287759541</v>
      </c>
      <c r="EB40" s="58">
        <v>22537.727566805337</v>
      </c>
      <c r="EC40" s="58">
        <v>15536.688940923015</v>
      </c>
      <c r="ED40" s="59">
        <v>0.68936359687860493</v>
      </c>
      <c r="EE40" s="58">
        <v>81270.271674377189</v>
      </c>
      <c r="EF40" s="58">
        <v>62591.273585466595</v>
      </c>
      <c r="EG40" s="59">
        <v>0.7701619829234595</v>
      </c>
    </row>
    <row r="41" spans="1:137" x14ac:dyDescent="0.2">
      <c r="A41" s="107">
        <v>30</v>
      </c>
      <c r="B41" s="83" t="s">
        <v>64</v>
      </c>
      <c r="C41" s="43">
        <v>841.43875792786935</v>
      </c>
      <c r="D41" s="43">
        <v>374.38270531611329</v>
      </c>
      <c r="E41" s="44">
        <v>0.44493161479519877</v>
      </c>
      <c r="F41" s="43">
        <v>4664.2648379382335</v>
      </c>
      <c r="G41" s="43">
        <v>4617.2790910302028</v>
      </c>
      <c r="H41" s="44">
        <v>0.989926441027564</v>
      </c>
      <c r="I41" s="43">
        <v>14362.24861110137</v>
      </c>
      <c r="J41" s="43">
        <v>6796.0038476389263</v>
      </c>
      <c r="K41" s="44">
        <v>0.47318522549358477</v>
      </c>
      <c r="L41" s="43">
        <v>3858.8277930325262</v>
      </c>
      <c r="M41" s="43">
        <v>2235.1151699713073</v>
      </c>
      <c r="N41" s="44">
        <v>0.57922127906485399</v>
      </c>
      <c r="O41" s="43">
        <v>23726.78</v>
      </c>
      <c r="P41" s="43">
        <v>14022.78081395655</v>
      </c>
      <c r="Q41" s="44">
        <v>0.59101069820500507</v>
      </c>
      <c r="R41" s="45">
        <v>605.65462731586194</v>
      </c>
      <c r="S41" s="45">
        <v>296.40685759094703</v>
      </c>
      <c r="T41" s="46">
        <v>0.48939914634940029</v>
      </c>
      <c r="U41" s="93">
        <v>4052.7788238093572</v>
      </c>
      <c r="V41" s="93">
        <v>3435.347062528107</v>
      </c>
      <c r="W41" s="46">
        <v>0.84765224352882329</v>
      </c>
      <c r="X41" s="47">
        <v>10946.593945706669</v>
      </c>
      <c r="Y41" s="47">
        <v>5555.6646262058111</v>
      </c>
      <c r="Z41" s="46">
        <v>0.50752450065847032</v>
      </c>
      <c r="AA41" s="47">
        <v>15822.33260316811</v>
      </c>
      <c r="AB41" s="47">
        <v>8030.2214536751308</v>
      </c>
      <c r="AC41" s="46">
        <v>0.50752450065847043</v>
      </c>
      <c r="AD41" s="47">
        <v>31427.359999999997</v>
      </c>
      <c r="AE41" s="47">
        <v>17317.639999999996</v>
      </c>
      <c r="AF41" s="46">
        <v>0.55103705815569615</v>
      </c>
      <c r="AG41" s="48">
        <v>403.41626443816443</v>
      </c>
      <c r="AH41" s="48">
        <v>375.53394332757375</v>
      </c>
      <c r="AI41" s="49">
        <v>0.9308844893761975</v>
      </c>
      <c r="AJ41" s="48">
        <v>2831.4674184346604</v>
      </c>
      <c r="AK41" s="48">
        <v>897.79807234980854</v>
      </c>
      <c r="AL41" s="49">
        <v>0.31707872268088622</v>
      </c>
      <c r="AM41" s="48">
        <v>11564.764731390103</v>
      </c>
      <c r="AN41" s="48">
        <v>7531.5670445796904</v>
      </c>
      <c r="AO41" s="49">
        <v>0.65125121172044664</v>
      </c>
      <c r="AP41" s="50">
        <v>24487.209833968482</v>
      </c>
      <c r="AQ41" s="50">
        <v>14587.874468229256</v>
      </c>
      <c r="AR41" s="49">
        <v>0.59573444941828613</v>
      </c>
      <c r="AS41" s="48">
        <v>39286.858248231409</v>
      </c>
      <c r="AT41" s="48">
        <v>23392.77352848633</v>
      </c>
      <c r="AU41" s="51">
        <v>0.59543507858736477</v>
      </c>
      <c r="AV41" s="48">
        <v>212.51622573333302</v>
      </c>
      <c r="AW41" s="48">
        <v>445.32044000000002</v>
      </c>
      <c r="AX41" s="52">
        <v>2.095465597807066</v>
      </c>
      <c r="AY41" s="48">
        <v>4817.6302347750006</v>
      </c>
      <c r="AZ41" s="48">
        <v>1370.6453200315893</v>
      </c>
      <c r="BA41" s="52">
        <v>0.28450612712820683</v>
      </c>
      <c r="BB41" s="48">
        <v>16992.039659560181</v>
      </c>
      <c r="BC41" s="48">
        <v>9744.3983219294187</v>
      </c>
      <c r="BD41" s="52">
        <v>0.57346843093359634</v>
      </c>
      <c r="BE41" s="53">
        <v>32303.114560225662</v>
      </c>
      <c r="BF41" s="53">
        <v>16641.733066993998</v>
      </c>
      <c r="BG41" s="52">
        <v>0.51517425776289427</v>
      </c>
      <c r="BH41" s="48">
        <v>54325.300680294182</v>
      </c>
      <c r="BI41" s="48">
        <v>28202.097148955007</v>
      </c>
      <c r="BJ41" s="52">
        <v>0.5191337515999237</v>
      </c>
      <c r="BK41" s="54">
        <v>377.5648281060005</v>
      </c>
      <c r="BL41" s="54">
        <v>345.81968999999998</v>
      </c>
      <c r="BM41" s="55">
        <v>0.91592135775663897</v>
      </c>
      <c r="BN41" s="54">
        <v>8035.5632649536701</v>
      </c>
      <c r="BO41" s="54">
        <v>1779.7024882396256</v>
      </c>
      <c r="BP41" s="55">
        <v>0.22147824981997533</v>
      </c>
      <c r="BQ41" s="54">
        <v>19399.827080912593</v>
      </c>
      <c r="BR41" s="54">
        <v>10279.732993256595</v>
      </c>
      <c r="BS41" s="55">
        <v>0.52988786706097912</v>
      </c>
      <c r="BT41" s="54">
        <v>29221.293422627739</v>
      </c>
      <c r="BU41" s="54">
        <v>16207.597574268773</v>
      </c>
      <c r="BV41" s="55">
        <v>0.55465024562253951</v>
      </c>
      <c r="BW41" s="54">
        <v>57034.248596600009</v>
      </c>
      <c r="BX41" s="54">
        <v>28612.852745764994</v>
      </c>
      <c r="BY41" s="55">
        <v>0.50167843795299327</v>
      </c>
      <c r="BZ41" s="56">
        <v>380.74720747999999</v>
      </c>
      <c r="CA41" s="56">
        <v>266.6549</v>
      </c>
      <c r="CB41" s="57">
        <v>0.70034630526871799</v>
      </c>
      <c r="CC41" s="56">
        <v>10978.342556005773</v>
      </c>
      <c r="CD41" s="56">
        <v>3784.5955899999999</v>
      </c>
      <c r="CE41" s="57">
        <v>0.3447328748117458</v>
      </c>
      <c r="CF41" s="56">
        <v>43156.583425965204</v>
      </c>
      <c r="CG41" s="56">
        <v>25621.740180000001</v>
      </c>
      <c r="CH41" s="57">
        <v>0.59369250635778215</v>
      </c>
      <c r="CI41" s="56">
        <v>9713.564233147501</v>
      </c>
      <c r="CJ41" s="56">
        <v>5194.48585</v>
      </c>
      <c r="CK41" s="57">
        <v>0.5347662017072824</v>
      </c>
      <c r="CL41" s="56">
        <v>64229.237422598482</v>
      </c>
      <c r="CM41" s="56">
        <v>34867.476519999997</v>
      </c>
      <c r="CN41" s="57">
        <v>0.5428598862320011</v>
      </c>
      <c r="CO41" s="58">
        <v>146.97936028000001</v>
      </c>
      <c r="CP41" s="58">
        <v>-37.659840000000003</v>
      </c>
      <c r="CQ41" s="59">
        <v>-0.25622536339971069</v>
      </c>
      <c r="CR41" s="58">
        <v>18995.717858865624</v>
      </c>
      <c r="CS41" s="58">
        <v>6658.6847200000002</v>
      </c>
      <c r="CT41" s="59">
        <v>0.35053609289591964</v>
      </c>
      <c r="CU41" s="58">
        <v>48982.613851695918</v>
      </c>
      <c r="CV41" s="58">
        <v>31689.314750000001</v>
      </c>
      <c r="CW41" s="59">
        <v>0.64695025965632147</v>
      </c>
      <c r="CX41" s="58">
        <v>12047.511122689519</v>
      </c>
      <c r="CY41" s="58">
        <v>6330.5339800000002</v>
      </c>
      <c r="CZ41" s="59">
        <v>0.52546404942324343</v>
      </c>
      <c r="DA41" s="58">
        <v>80172.822193531058</v>
      </c>
      <c r="DB41" s="58">
        <v>44640.873610000002</v>
      </c>
      <c r="DC41" s="59">
        <v>0.55680806024565721</v>
      </c>
      <c r="DD41" s="58">
        <v>0</v>
      </c>
      <c r="DE41" s="58">
        <v>0</v>
      </c>
      <c r="DF41" s="59" t="s">
        <v>36</v>
      </c>
      <c r="DG41" s="58">
        <v>26820.046471190486</v>
      </c>
      <c r="DH41" s="58">
        <v>12900.180829999999</v>
      </c>
      <c r="DI41" s="59">
        <v>0.48099024898622361</v>
      </c>
      <c r="DJ41" s="58">
        <v>67923.693698275849</v>
      </c>
      <c r="DK41" s="58">
        <v>48818.481193108339</v>
      </c>
      <c r="DL41" s="59">
        <v>0.71872535981280905</v>
      </c>
      <c r="DM41" s="58">
        <v>15452.605601552481</v>
      </c>
      <c r="DN41" s="58">
        <v>1939.8761768916563</v>
      </c>
      <c r="DO41" s="59">
        <v>0.12553715709257229</v>
      </c>
      <c r="DP41" s="58">
        <v>110196.34577101881</v>
      </c>
      <c r="DQ41" s="58">
        <v>63658.538199999995</v>
      </c>
      <c r="DR41" s="59">
        <v>0.5776828419726231</v>
      </c>
      <c r="DS41" s="58"/>
      <c r="DT41" s="58"/>
      <c r="DU41" s="59" t="s">
        <v>36</v>
      </c>
      <c r="DV41" s="58">
        <v>38369.617515617392</v>
      </c>
      <c r="DW41" s="58">
        <v>16834.204714231102</v>
      </c>
      <c r="DX41" s="59">
        <v>0.43873788179877377</v>
      </c>
      <c r="DY41" s="58">
        <v>113574.5791404082</v>
      </c>
      <c r="DZ41" s="58">
        <v>77249.357656335444</v>
      </c>
      <c r="EA41" s="59">
        <v>0.68016415505123573</v>
      </c>
      <c r="EB41" s="58">
        <v>18364.768336782214</v>
      </c>
      <c r="EC41" s="58">
        <v>14224.710834972753</v>
      </c>
      <c r="ED41" s="59">
        <v>0.77456522043256759</v>
      </c>
      <c r="EE41" s="58">
        <v>170308.9649928078</v>
      </c>
      <c r="EF41" s="58">
        <v>108308.2732055393</v>
      </c>
      <c r="EG41" s="59">
        <v>0.6359516846932467</v>
      </c>
    </row>
    <row r="42" spans="1:137" x14ac:dyDescent="0.2">
      <c r="A42" s="41">
        <v>31</v>
      </c>
      <c r="B42" s="42" t="s">
        <v>65</v>
      </c>
      <c r="C42" s="43"/>
      <c r="D42" s="43"/>
      <c r="E42" s="44"/>
      <c r="F42" s="43"/>
      <c r="G42" s="43"/>
      <c r="H42" s="44"/>
      <c r="I42" s="43"/>
      <c r="J42" s="43"/>
      <c r="K42" s="44"/>
      <c r="L42" s="43"/>
      <c r="M42" s="43"/>
      <c r="N42" s="44"/>
      <c r="O42" s="43"/>
      <c r="P42" s="43"/>
      <c r="Q42" s="44"/>
      <c r="R42" s="45"/>
      <c r="S42" s="45"/>
      <c r="T42" s="46"/>
      <c r="U42" s="93"/>
      <c r="V42" s="93"/>
      <c r="W42" s="46"/>
      <c r="X42" s="47"/>
      <c r="Y42" s="47"/>
      <c r="Z42" s="46"/>
      <c r="AA42" s="47"/>
      <c r="AB42" s="47"/>
      <c r="AC42" s="46"/>
      <c r="AD42" s="47"/>
      <c r="AE42" s="47"/>
      <c r="AF42" s="46"/>
      <c r="AG42" s="48"/>
      <c r="AH42" s="48"/>
      <c r="AI42" s="49"/>
      <c r="AJ42" s="48"/>
      <c r="AK42" s="48"/>
      <c r="AL42" s="49"/>
      <c r="AM42" s="48"/>
      <c r="AN42" s="48"/>
      <c r="AO42" s="49"/>
      <c r="AP42" s="50"/>
      <c r="AQ42" s="50"/>
      <c r="AR42" s="49"/>
      <c r="AS42" s="48"/>
      <c r="AT42" s="48"/>
      <c r="AU42" s="51"/>
      <c r="AV42" s="48"/>
      <c r="AW42" s="48"/>
      <c r="AX42" s="52"/>
      <c r="AY42" s="48"/>
      <c r="AZ42" s="48"/>
      <c r="BA42" s="52"/>
      <c r="BB42" s="48"/>
      <c r="BC42" s="48"/>
      <c r="BD42" s="52"/>
      <c r="BE42" s="53"/>
      <c r="BF42" s="53"/>
      <c r="BG42" s="52"/>
      <c r="BH42" s="48"/>
      <c r="BI42" s="48"/>
      <c r="BJ42" s="52"/>
      <c r="BK42" s="54"/>
      <c r="BL42" s="54"/>
      <c r="BM42" s="55"/>
      <c r="BN42" s="54"/>
      <c r="BO42" s="54"/>
      <c r="BP42" s="55"/>
      <c r="BQ42" s="54"/>
      <c r="BR42" s="54"/>
      <c r="BS42" s="55"/>
      <c r="BT42" s="54"/>
      <c r="BU42" s="54"/>
      <c r="BV42" s="55"/>
      <c r="BW42" s="54"/>
      <c r="BX42" s="54"/>
      <c r="BY42" s="55"/>
      <c r="BZ42" s="56">
        <v>0</v>
      </c>
      <c r="CA42" s="56">
        <v>0</v>
      </c>
      <c r="CB42" s="57" t="s">
        <v>36</v>
      </c>
      <c r="CC42" s="56">
        <v>0</v>
      </c>
      <c r="CD42" s="56">
        <v>0</v>
      </c>
      <c r="CE42" s="57" t="s">
        <v>36</v>
      </c>
      <c r="CF42" s="56">
        <v>0</v>
      </c>
      <c r="CG42" s="56">
        <v>0</v>
      </c>
      <c r="CH42" s="57" t="s">
        <v>36</v>
      </c>
      <c r="CI42" s="56">
        <v>0</v>
      </c>
      <c r="CJ42" s="56">
        <v>0</v>
      </c>
      <c r="CK42" s="57" t="s">
        <v>36</v>
      </c>
      <c r="CL42" s="56">
        <v>0</v>
      </c>
      <c r="CM42" s="56">
        <v>0</v>
      </c>
      <c r="CN42" s="57" t="s">
        <v>36</v>
      </c>
      <c r="CO42" s="58">
        <v>0</v>
      </c>
      <c r="CP42" s="58">
        <v>0</v>
      </c>
      <c r="CQ42" s="59" t="s">
        <v>36</v>
      </c>
      <c r="CR42" s="58">
        <v>10.411192198845001</v>
      </c>
      <c r="CS42" s="58">
        <v>1.2444992014252401</v>
      </c>
      <c r="CT42" s="59">
        <v>0.11953474469170808</v>
      </c>
      <c r="CU42" s="58">
        <v>250.99733096785798</v>
      </c>
      <c r="CV42" s="58">
        <v>136.28352116937199</v>
      </c>
      <c r="CW42" s="59">
        <v>0.54296800943602097</v>
      </c>
      <c r="CX42" s="58">
        <v>127.59886791896601</v>
      </c>
      <c r="CY42" s="58">
        <v>74.459547042341995</v>
      </c>
      <c r="CZ42" s="59">
        <v>0.58354394718947578</v>
      </c>
      <c r="DA42" s="58">
        <v>389.00739108566898</v>
      </c>
      <c r="DB42" s="58">
        <v>211.98756741313923</v>
      </c>
      <c r="DC42" s="59">
        <v>0.54494483208020683</v>
      </c>
      <c r="DD42" s="58">
        <v>0</v>
      </c>
      <c r="DE42" s="58">
        <v>0</v>
      </c>
      <c r="DF42" s="59" t="s">
        <v>36</v>
      </c>
      <c r="DG42" s="58">
        <v>1.11639</v>
      </c>
      <c r="DH42" s="58">
        <v>1.1094113600000011</v>
      </c>
      <c r="DI42" s="59">
        <v>0.99374892286745764</v>
      </c>
      <c r="DJ42" s="58">
        <v>105.6690856083264</v>
      </c>
      <c r="DK42" s="58">
        <v>46.815808369756077</v>
      </c>
      <c r="DL42" s="59">
        <v>0.44304167202963984</v>
      </c>
      <c r="DM42" s="58">
        <v>55.412531941673613</v>
      </c>
      <c r="DN42" s="58">
        <v>25.578175965243016</v>
      </c>
      <c r="DO42" s="59">
        <v>0.46159551041930758</v>
      </c>
      <c r="DP42" s="58">
        <v>162.19800755</v>
      </c>
      <c r="DQ42" s="58">
        <v>73.503395694999099</v>
      </c>
      <c r="DR42" s="59">
        <v>0.45317076828049546</v>
      </c>
      <c r="DS42" s="58"/>
      <c r="DT42" s="58"/>
      <c r="DU42" s="59" t="s">
        <v>36</v>
      </c>
      <c r="DV42" s="58">
        <v>-1.50176</v>
      </c>
      <c r="DW42" s="58">
        <v>1.5535145338317253</v>
      </c>
      <c r="DX42" s="59">
        <v>-1.0344625864530452</v>
      </c>
      <c r="DY42" s="58">
        <v>19.798394356471075</v>
      </c>
      <c r="DZ42" s="58">
        <v>35.796139097422646</v>
      </c>
      <c r="EA42" s="59">
        <v>1.8080324319695518</v>
      </c>
      <c r="EB42" s="58">
        <v>10.382214943528927</v>
      </c>
      <c r="EC42" s="58">
        <v>19.557495140929511</v>
      </c>
      <c r="ED42" s="59">
        <v>1.8837497824218514</v>
      </c>
      <c r="EE42" s="58">
        <v>28.678849300000003</v>
      </c>
      <c r="EF42" s="58">
        <v>56.907148772183881</v>
      </c>
      <c r="EG42" s="59">
        <v>1.9842898219833345</v>
      </c>
    </row>
    <row r="43" spans="1:137" x14ac:dyDescent="0.2">
      <c r="A43" s="107">
        <v>32</v>
      </c>
      <c r="B43" s="83" t="s">
        <v>66</v>
      </c>
      <c r="C43" s="43">
        <v>3270.98</v>
      </c>
      <c r="D43" s="43">
        <v>1936.5886654499998</v>
      </c>
      <c r="E43" s="44">
        <v>0.59205151527982436</v>
      </c>
      <c r="F43" s="43">
        <v>5118.3183082189835</v>
      </c>
      <c r="G43" s="43">
        <v>3499.7591272538311</v>
      </c>
      <c r="H43" s="44">
        <v>0.68377129293305694</v>
      </c>
      <c r="I43" s="43">
        <v>37108.221094873654</v>
      </c>
      <c r="J43" s="43">
        <v>25373.536316487498</v>
      </c>
      <c r="K43" s="44">
        <v>0.68377129293305694</v>
      </c>
      <c r="L43" s="43">
        <v>18081.325185892369</v>
      </c>
      <c r="M43" s="43">
        <v>12363.491100300673</v>
      </c>
      <c r="N43" s="44">
        <v>0.68377129293305705</v>
      </c>
      <c r="O43" s="43">
        <v>63578.844588985005</v>
      </c>
      <c r="P43" s="43">
        <v>43173.375209491998</v>
      </c>
      <c r="Q43" s="44">
        <v>0.67905252900697977</v>
      </c>
      <c r="R43" s="45">
        <v>2638.8608689379312</v>
      </c>
      <c r="S43" s="45">
        <v>1315.78445005</v>
      </c>
      <c r="T43" s="46">
        <v>0.49861834912864011</v>
      </c>
      <c r="U43" s="47">
        <v>6932.8783272990195</v>
      </c>
      <c r="V43" s="47">
        <v>5860.1536732151508</v>
      </c>
      <c r="W43" s="46">
        <v>0.84526994367405961</v>
      </c>
      <c r="X43" s="47">
        <v>63256.734181498723</v>
      </c>
      <c r="Y43" s="47">
        <v>42014.948856131959</v>
      </c>
      <c r="Z43" s="46">
        <v>0.66419724950676406</v>
      </c>
      <c r="AA43" s="47">
        <v>26849.809557564451</v>
      </c>
      <c r="AB43" s="47">
        <v>14954.835917928602</v>
      </c>
      <c r="AC43" s="46">
        <v>0.55698107973042754</v>
      </c>
      <c r="AD43" s="47">
        <v>99678.282935300129</v>
      </c>
      <c r="AE43" s="47">
        <v>64145.722897325715</v>
      </c>
      <c r="AF43" s="46">
        <v>0.64352756697225477</v>
      </c>
      <c r="AG43" s="48">
        <v>883.26378757534292</v>
      </c>
      <c r="AH43" s="48">
        <v>846.87003299999992</v>
      </c>
      <c r="AI43" s="49">
        <v>0.95879627911017629</v>
      </c>
      <c r="AJ43" s="48">
        <v>11092.14718378316</v>
      </c>
      <c r="AK43" s="48">
        <v>5795.3897125297062</v>
      </c>
      <c r="AL43" s="49">
        <v>0.52247681323618111</v>
      </c>
      <c r="AM43" s="48">
        <v>102331.40300346423</v>
      </c>
      <c r="AN43" s="48">
        <v>53465.785335237364</v>
      </c>
      <c r="AO43" s="49">
        <v>0.52247681323618111</v>
      </c>
      <c r="AP43" s="50">
        <v>37963.621839552579</v>
      </c>
      <c r="AQ43" s="50">
        <v>19835.112157632921</v>
      </c>
      <c r="AR43" s="49">
        <v>0.52247681323618111</v>
      </c>
      <c r="AS43" s="48">
        <v>152270.43581437532</v>
      </c>
      <c r="AT43" s="48">
        <v>79943.157238399988</v>
      </c>
      <c r="AU43" s="51">
        <v>0.52500773909818177</v>
      </c>
      <c r="AV43" s="48">
        <v>1773.4434959966209</v>
      </c>
      <c r="AW43" s="48">
        <v>34.510735500000003</v>
      </c>
      <c r="AX43" s="52">
        <v>1.9459732197786222E-2</v>
      </c>
      <c r="AY43" s="48">
        <v>18344.409309565381</v>
      </c>
      <c r="AZ43" s="48">
        <v>12957.249185795998</v>
      </c>
      <c r="BA43" s="52">
        <v>0.70633231995317836</v>
      </c>
      <c r="BB43" s="48">
        <v>107790.55872384609</v>
      </c>
      <c r="BC43" s="48">
        <v>65628.343541609676</v>
      </c>
      <c r="BD43" s="52">
        <v>0.60885057391479103</v>
      </c>
      <c r="BE43" s="53">
        <v>57468.30847065791</v>
      </c>
      <c r="BF43" s="53">
        <v>34989.612594272323</v>
      </c>
      <c r="BG43" s="52">
        <v>0.60885057391479114</v>
      </c>
      <c r="BH43" s="48">
        <v>185376.72000006598</v>
      </c>
      <c r="BI43" s="48">
        <v>113609.71605717801</v>
      </c>
      <c r="BJ43" s="52">
        <v>0.61285859441863888</v>
      </c>
      <c r="BK43" s="54">
        <v>2469.2126699999999</v>
      </c>
      <c r="BL43" s="54">
        <v>2132.6475500000001</v>
      </c>
      <c r="BM43" s="55">
        <v>0.86369536974715111</v>
      </c>
      <c r="BN43" s="54">
        <v>27914.549770811995</v>
      </c>
      <c r="BO43" s="54">
        <v>27749.475440051276</v>
      </c>
      <c r="BP43" s="55">
        <v>0.99408644122452139</v>
      </c>
      <c r="BQ43" s="54">
        <v>159143.57248459215</v>
      </c>
      <c r="BR43" s="54">
        <v>91553.761994733315</v>
      </c>
      <c r="BS43" s="55">
        <v>0.57529035301502551</v>
      </c>
      <c r="BT43" s="54">
        <v>76171.69059998286</v>
      </c>
      <c r="BU43" s="54">
        <v>43820.838775015443</v>
      </c>
      <c r="BV43" s="55">
        <v>0.57529035301502551</v>
      </c>
      <c r="BW43" s="54">
        <v>265699.02552538703</v>
      </c>
      <c r="BX43" s="54">
        <v>165256.72375980002</v>
      </c>
      <c r="BY43" s="55">
        <v>0.62196962684761548</v>
      </c>
      <c r="BZ43" s="56">
        <v>1366.4626800000001</v>
      </c>
      <c r="CA43" s="56">
        <v>4252.8484900000003</v>
      </c>
      <c r="CB43" s="57">
        <v>3.1123048966108611</v>
      </c>
      <c r="CC43" s="56">
        <v>37511.517864399997</v>
      </c>
      <c r="CD43" s="56">
        <v>32816.566542452405</v>
      </c>
      <c r="CE43" s="57">
        <v>0.87483974018541921</v>
      </c>
      <c r="CF43" s="56">
        <v>214810.28109942598</v>
      </c>
      <c r="CG43" s="56">
        <v>126728.29985362342</v>
      </c>
      <c r="CH43" s="57">
        <v>0.58995453664979203</v>
      </c>
      <c r="CI43" s="56">
        <v>103615.05056862404</v>
      </c>
      <c r="CJ43" s="56">
        <v>61128.169148157365</v>
      </c>
      <c r="CK43" s="57">
        <v>0.58995453664979203</v>
      </c>
      <c r="CL43" s="56">
        <v>357303.31221245002</v>
      </c>
      <c r="CM43" s="56">
        <v>224925.88403423317</v>
      </c>
      <c r="CN43" s="57">
        <v>0.62950965285341054</v>
      </c>
      <c r="CO43" s="58">
        <v>-9.7390424999999965</v>
      </c>
      <c r="CP43" s="58">
        <v>-319.66211900000002</v>
      </c>
      <c r="CQ43" s="59">
        <v>32.822746075910452</v>
      </c>
      <c r="CR43" s="58">
        <v>57424.306191548501</v>
      </c>
      <c r="CS43" s="58">
        <v>64186.249616898502</v>
      </c>
      <c r="CT43" s="59">
        <v>1.1177540291526447</v>
      </c>
      <c r="CU43" s="58">
        <v>365652.92920110235</v>
      </c>
      <c r="CV43" s="58">
        <v>218192.54662154487</v>
      </c>
      <c r="CW43" s="59">
        <v>0.59672035746647334</v>
      </c>
      <c r="CX43" s="58">
        <v>36012.902311264639</v>
      </c>
      <c r="CY43" s="58">
        <v>21489.631940583018</v>
      </c>
      <c r="CZ43" s="59">
        <v>0.59672035746647334</v>
      </c>
      <c r="DA43" s="58">
        <v>459080.3986614155</v>
      </c>
      <c r="DB43" s="58">
        <v>303548.76606002636</v>
      </c>
      <c r="DC43" s="59">
        <v>0.66121046976763209</v>
      </c>
      <c r="DD43" s="58">
        <v>95.510959999999997</v>
      </c>
      <c r="DE43" s="58">
        <v>-0.83011000000000001</v>
      </c>
      <c r="DF43" s="59">
        <v>-8.6912538623839606E-3</v>
      </c>
      <c r="DG43" s="58">
        <v>53955.788670000002</v>
      </c>
      <c r="DH43" s="58">
        <v>71763.683309999993</v>
      </c>
      <c r="DI43" s="59">
        <v>1.3300460447147791</v>
      </c>
      <c r="DJ43" s="58">
        <v>365967.23554999998</v>
      </c>
      <c r="DK43" s="58">
        <v>335228.54096999997</v>
      </c>
      <c r="DL43" s="59">
        <v>0.91600697659777153</v>
      </c>
      <c r="DM43" s="58">
        <v>35741.711000000003</v>
      </c>
      <c r="DN43" s="58">
        <v>27887.12355</v>
      </c>
      <c r="DO43" s="59">
        <v>0.78024030662661892</v>
      </c>
      <c r="DP43" s="58">
        <v>455760.24617999996</v>
      </c>
      <c r="DQ43" s="58">
        <v>434878.51772</v>
      </c>
      <c r="DR43" s="59">
        <v>0.95418264617192428</v>
      </c>
      <c r="DS43" s="58">
        <v>0</v>
      </c>
      <c r="DT43" s="58">
        <v>-2.3902000000000001</v>
      </c>
      <c r="DU43" s="59" t="s">
        <v>36</v>
      </c>
      <c r="DV43" s="58">
        <v>112480.56088</v>
      </c>
      <c r="DW43" s="58">
        <v>132034.73014999999</v>
      </c>
      <c r="DX43" s="59">
        <v>1.1738448769904462</v>
      </c>
      <c r="DY43" s="58">
        <v>789815.92760595796</v>
      </c>
      <c r="DZ43" s="58">
        <v>659345.91157175903</v>
      </c>
      <c r="EA43" s="59">
        <v>0.83480959110349706</v>
      </c>
      <c r="EB43" s="58">
        <v>66898.679092427308</v>
      </c>
      <c r="EC43" s="58">
        <v>54688.357213008007</v>
      </c>
      <c r="ED43" s="59">
        <v>0.81748037412593</v>
      </c>
      <c r="EE43" s="58">
        <v>969195.16757838521</v>
      </c>
      <c r="EF43" s="58">
        <v>846066.60873476695</v>
      </c>
      <c r="EG43" s="59">
        <v>0.8729579315265622</v>
      </c>
    </row>
    <row r="44" spans="1:137" s="74" customFormat="1" x14ac:dyDescent="0.2">
      <c r="A44" s="60"/>
      <c r="B44" s="28" t="s">
        <v>67</v>
      </c>
      <c r="C44" s="61">
        <v>5700.0999044278688</v>
      </c>
      <c r="D44" s="61">
        <v>3173.365181766113</v>
      </c>
      <c r="E44" s="62">
        <v>0.55672097594307524</v>
      </c>
      <c r="F44" s="61">
        <v>31491.727194542142</v>
      </c>
      <c r="G44" s="61">
        <v>28550.900507773658</v>
      </c>
      <c r="H44" s="62">
        <v>0.90661589729260195</v>
      </c>
      <c r="I44" s="61">
        <v>74994.077558826175</v>
      </c>
      <c r="J44" s="61">
        <v>44446.113983221556</v>
      </c>
      <c r="K44" s="62">
        <v>0.59266165315997832</v>
      </c>
      <c r="L44" s="61">
        <v>35173.54822808881</v>
      </c>
      <c r="M44" s="61">
        <v>22391.835368035096</v>
      </c>
      <c r="N44" s="62">
        <v>0.63661008047386802</v>
      </c>
      <c r="O44" s="61">
        <v>147359.452885885</v>
      </c>
      <c r="P44" s="61">
        <v>98562.215040796407</v>
      </c>
      <c r="Q44" s="62">
        <v>0.66885573412872867</v>
      </c>
      <c r="R44" s="63">
        <f>SUM(R39:R43)</f>
        <v>3559.985395153793</v>
      </c>
      <c r="S44" s="63">
        <f>SUM(S39:S43)</f>
        <v>1649.7338626409471</v>
      </c>
      <c r="T44" s="62">
        <f>S44/R44</f>
        <v>0.46341028951599894</v>
      </c>
      <c r="U44" s="63">
        <f>SUM(U39:U43)</f>
        <v>30574.233954807823</v>
      </c>
      <c r="V44" s="63">
        <f>SUM(V39:V43)</f>
        <v>26017.700000508259</v>
      </c>
      <c r="W44" s="62">
        <f t="shared" ref="W44:W45" si="12">V44/U44</f>
        <v>0.85096817270926106</v>
      </c>
      <c r="X44" s="63">
        <f>SUM(X39:X43)</f>
        <v>101793.13731092704</v>
      </c>
      <c r="Y44" s="63">
        <f>SUM(Y39:Y43)</f>
        <v>62671.929034741668</v>
      </c>
      <c r="Z44" s="62">
        <f t="shared" ref="Z44:Z45" si="13">Y44/X44</f>
        <v>0.61567931483740723</v>
      </c>
      <c r="AA44" s="63">
        <f>SUM(AA39:AA43)</f>
        <v>57732.430726656348</v>
      </c>
      <c r="AB44" s="63">
        <f>SUM(AB39:AB43)</f>
        <v>32132.738563326257</v>
      </c>
      <c r="AC44" s="62">
        <f t="shared" ref="AC44:AC45" si="14">AB44/AA44</f>
        <v>0.55658038573612068</v>
      </c>
      <c r="AD44" s="63">
        <f>SUM(AD39:AD43)</f>
        <v>193659.78738754502</v>
      </c>
      <c r="AE44" s="63">
        <f>SUM(AE39:AE43)</f>
        <v>122472.10146121713</v>
      </c>
      <c r="AF44" s="62">
        <f t="shared" ref="AF44:AF45" si="15">AE44/AD44</f>
        <v>0.63240852999662933</v>
      </c>
      <c r="AG44" s="64">
        <v>1771.1350041135074</v>
      </c>
      <c r="AH44" s="64">
        <v>1326.4339763275736</v>
      </c>
      <c r="AI44" s="65">
        <v>0.74891748694870575</v>
      </c>
      <c r="AJ44" s="64">
        <v>55472.724732374831</v>
      </c>
      <c r="AK44" s="64">
        <v>40571.036451520864</v>
      </c>
      <c r="AL44" s="65">
        <v>0.73136909440186404</v>
      </c>
      <c r="AM44" s="64">
        <v>148360.39459377399</v>
      </c>
      <c r="AN44" s="64">
        <v>80200.291863208608</v>
      </c>
      <c r="AO44" s="65">
        <v>0.5405775044128539</v>
      </c>
      <c r="AP44" s="66">
        <v>89916.286032369855</v>
      </c>
      <c r="AQ44" s="66">
        <v>48999.227137970636</v>
      </c>
      <c r="AR44" s="65">
        <v>0.54494273840815577</v>
      </c>
      <c r="AS44" s="64">
        <v>295520.54036263213</v>
      </c>
      <c r="AT44" s="64">
        <v>171096.98942902766</v>
      </c>
      <c r="AU44" s="67">
        <v>0.5789681800766715</v>
      </c>
      <c r="AV44" s="64">
        <v>2468.8959110296018</v>
      </c>
      <c r="AW44" s="64">
        <v>1354.840696204765</v>
      </c>
      <c r="AX44" s="68">
        <v>0.54876379767657224</v>
      </c>
      <c r="AY44" s="64">
        <v>78831.758953761193</v>
      </c>
      <c r="AZ44" s="64">
        <v>60049.510205282699</v>
      </c>
      <c r="BA44" s="68">
        <v>0.76174261493397311</v>
      </c>
      <c r="BB44" s="64">
        <v>184904.2086835425</v>
      </c>
      <c r="BC44" s="64">
        <v>103255.84336465743</v>
      </c>
      <c r="BD44" s="68">
        <v>0.55842884323621012</v>
      </c>
      <c r="BE44" s="69">
        <v>135032.52850237279</v>
      </c>
      <c r="BF44" s="69">
        <v>68774.569281775504</v>
      </c>
      <c r="BG44" s="68">
        <v>0.50931853268649263</v>
      </c>
      <c r="BH44" s="64">
        <v>401237.39205070608</v>
      </c>
      <c r="BI44" s="64">
        <v>233434.76354792042</v>
      </c>
      <c r="BJ44" s="68">
        <v>0.58178716184662138</v>
      </c>
      <c r="BK44" s="70">
        <v>3571.9481694104852</v>
      </c>
      <c r="BL44" s="70">
        <v>3503.5893489000005</v>
      </c>
      <c r="BM44" s="71">
        <v>0.98086231454983097</v>
      </c>
      <c r="BN44" s="70">
        <v>116928.86690451075</v>
      </c>
      <c r="BO44" s="70">
        <v>99774.961488417437</v>
      </c>
      <c r="BP44" s="71">
        <v>0.85329623154475664</v>
      </c>
      <c r="BQ44" s="70">
        <v>261639.72341609059</v>
      </c>
      <c r="BR44" s="70">
        <v>145315.32527655707</v>
      </c>
      <c r="BS44" s="71">
        <v>0.55540238072129189</v>
      </c>
      <c r="BT44" s="70">
        <v>150048.14285703344</v>
      </c>
      <c r="BU44" s="70">
        <v>79535.233245589698</v>
      </c>
      <c r="BV44" s="71">
        <v>0.53006476275665226</v>
      </c>
      <c r="BW44" s="70">
        <v>532188.68134704523</v>
      </c>
      <c r="BX44" s="70">
        <v>328129.10935946414</v>
      </c>
      <c r="BY44" s="71">
        <v>0.6165653664954367</v>
      </c>
      <c r="BZ44" s="56">
        <v>5699.9491995194694</v>
      </c>
      <c r="CA44" s="56">
        <v>10386.024437149843</v>
      </c>
      <c r="CB44" s="57">
        <v>1.82212578982729</v>
      </c>
      <c r="CC44" s="56">
        <v>173909.73580815358</v>
      </c>
      <c r="CD44" s="56">
        <v>136478.4632013503</v>
      </c>
      <c r="CE44" s="57">
        <v>0.78476608895493272</v>
      </c>
      <c r="CF44" s="56">
        <v>380117.58854595525</v>
      </c>
      <c r="CG44" s="56">
        <v>216371.73054936959</v>
      </c>
      <c r="CH44" s="57">
        <v>0.56922314849214295</v>
      </c>
      <c r="CI44" s="56">
        <v>172428.19268619642</v>
      </c>
      <c r="CJ44" s="56">
        <v>96066.958352096495</v>
      </c>
      <c r="CK44" s="57">
        <v>0.55714182730506023</v>
      </c>
      <c r="CL44" s="56">
        <v>732155.46623982477</v>
      </c>
      <c r="CM44" s="56">
        <v>459303.17653996625</v>
      </c>
      <c r="CN44" s="57">
        <v>0.62733012006157307</v>
      </c>
      <c r="CO44" s="72">
        <v>41.729360280000009</v>
      </c>
      <c r="CP44" s="72">
        <v>-468.85181</v>
      </c>
      <c r="CQ44" s="73">
        <v>-11.235537924714141</v>
      </c>
      <c r="CR44" s="72">
        <v>237261.55421190319</v>
      </c>
      <c r="CS44" s="72">
        <v>203623.48625076612</v>
      </c>
      <c r="CT44" s="73">
        <v>0.85822368873511545</v>
      </c>
      <c r="CU44" s="72">
        <v>569496.59195948532</v>
      </c>
      <c r="CV44" s="72">
        <v>340724.44981198147</v>
      </c>
      <c r="CW44" s="73">
        <v>0.59829058614668762</v>
      </c>
      <c r="CX44" s="72">
        <v>124265.01409208511</v>
      </c>
      <c r="CY44" s="72">
        <v>69837.853620362002</v>
      </c>
      <c r="CZ44" s="73">
        <v>0.56200736893337888</v>
      </c>
      <c r="DA44" s="72">
        <v>945196.63462958101</v>
      </c>
      <c r="DB44" s="72">
        <v>625297.68872256111</v>
      </c>
      <c r="DC44" s="73">
        <v>0.66155302062370647</v>
      </c>
      <c r="DD44" s="72">
        <v>95.510959999999997</v>
      </c>
      <c r="DE44" s="72">
        <v>-1118.3477069999926</v>
      </c>
      <c r="DF44" s="73">
        <v>-11.709103405514851</v>
      </c>
      <c r="DG44" s="72">
        <v>210277.02402353595</v>
      </c>
      <c r="DH44" s="72">
        <v>168113.42519157796</v>
      </c>
      <c r="DI44" s="73">
        <v>0.79948546909604978</v>
      </c>
      <c r="DJ44" s="72">
        <v>506118.85310472839</v>
      </c>
      <c r="DK44" s="72">
        <v>436049.08725598984</v>
      </c>
      <c r="DL44" s="73">
        <v>0.86155472095357921</v>
      </c>
      <c r="DM44" s="72">
        <v>135237.20289647114</v>
      </c>
      <c r="DN44" s="72">
        <v>62093.570262111185</v>
      </c>
      <c r="DO44" s="73">
        <v>0.45914562658949704</v>
      </c>
      <c r="DP44" s="72">
        <v>851728.59098473541</v>
      </c>
      <c r="DQ44" s="72">
        <v>665137.73500267905</v>
      </c>
      <c r="DR44" s="73">
        <v>0.78092686102467535</v>
      </c>
      <c r="DS44" s="72">
        <v>0</v>
      </c>
      <c r="DT44" s="72">
        <v>-390.60464162500739</v>
      </c>
      <c r="DU44" s="73" t="s">
        <v>36</v>
      </c>
      <c r="DV44" s="72">
        <v>336596.86650178733</v>
      </c>
      <c r="DW44" s="72">
        <v>295300.85249156272</v>
      </c>
      <c r="DX44" s="73">
        <v>0.87731313592010129</v>
      </c>
      <c r="DY44" s="72">
        <v>1025990.0549806217</v>
      </c>
      <c r="DZ44" s="72">
        <v>829820.81546872668</v>
      </c>
      <c r="EA44" s="73">
        <v>0.8088000575058204</v>
      </c>
      <c r="EB44" s="72">
        <v>176720.32294303272</v>
      </c>
      <c r="EC44" s="72">
        <v>124875.28297084229</v>
      </c>
      <c r="ED44" s="73">
        <v>0.70662661142316319</v>
      </c>
      <c r="EE44" s="72">
        <v>1539307.2444254416</v>
      </c>
      <c r="EF44" s="72">
        <v>1249606.3462895066</v>
      </c>
      <c r="EG44" s="73">
        <v>0.81179787259166181</v>
      </c>
    </row>
    <row r="45" spans="1:137" s="74" customFormat="1" x14ac:dyDescent="0.2">
      <c r="A45" s="108"/>
      <c r="B45" s="108" t="s">
        <v>68</v>
      </c>
      <c r="C45" s="109">
        <v>177471.64408630968</v>
      </c>
      <c r="D45" s="109">
        <v>165406.40716826581</v>
      </c>
      <c r="E45" s="110">
        <v>0.93201597370577016</v>
      </c>
      <c r="F45" s="109">
        <v>694119.36979147594</v>
      </c>
      <c r="G45" s="109">
        <v>765076.60107433633</v>
      </c>
      <c r="H45" s="110">
        <v>1.1022262659291255</v>
      </c>
      <c r="I45" s="109">
        <v>206247.01663132472</v>
      </c>
      <c r="J45" s="109">
        <v>151282.28981258514</v>
      </c>
      <c r="K45" s="110">
        <v>0.73350049995151512</v>
      </c>
      <c r="L45" s="109">
        <v>359532.38285576389</v>
      </c>
      <c r="M45" s="109">
        <v>320261.77024141268</v>
      </c>
      <c r="N45" s="110">
        <v>0.89077308613364692</v>
      </c>
      <c r="O45" s="109">
        <v>1437370.4133648742</v>
      </c>
      <c r="P45" s="109">
        <v>1400722.0687766003</v>
      </c>
      <c r="Q45" s="110">
        <v>0.9745032009511867</v>
      </c>
      <c r="R45" s="111">
        <f>R35+R11+R44</f>
        <v>208758.3257592236</v>
      </c>
      <c r="S45" s="111">
        <f>S35+S11+S44</f>
        <v>224991.54175620902</v>
      </c>
      <c r="T45" s="110">
        <f>S45/R45</f>
        <v>1.0777608075651477</v>
      </c>
      <c r="U45" s="111">
        <f>U35+U11+U44</f>
        <v>814927.6996655172</v>
      </c>
      <c r="V45" s="111">
        <f>V35+V11+V44</f>
        <v>947721.16124181775</v>
      </c>
      <c r="W45" s="110">
        <f t="shared" si="12"/>
        <v>1.1629512184096882</v>
      </c>
      <c r="X45" s="111">
        <f>X35+X11+X44</f>
        <v>309089.86906735547</v>
      </c>
      <c r="Y45" s="111">
        <f>Y35+Y11+Y44</f>
        <v>234349.2717018199</v>
      </c>
      <c r="Z45" s="110">
        <f t="shared" si="13"/>
        <v>0.75819137136051384</v>
      </c>
      <c r="AA45" s="111">
        <f>AA35+AA11+AA44</f>
        <v>378376.99426248216</v>
      </c>
      <c r="AB45" s="111">
        <f>AB35+AB11+AB44</f>
        <v>324441.90293617389</v>
      </c>
      <c r="AC45" s="110">
        <f t="shared" si="14"/>
        <v>0.85745673721142468</v>
      </c>
      <c r="AD45" s="111">
        <f>AD35+AD11+AD44</f>
        <v>1711152.8887545783</v>
      </c>
      <c r="AE45" s="111">
        <f>AE35+AE11+AE44</f>
        <v>1731506.4575790204</v>
      </c>
      <c r="AF45" s="110">
        <f t="shared" si="15"/>
        <v>1.011894652405523</v>
      </c>
      <c r="AG45" s="112">
        <v>224527.13134357927</v>
      </c>
      <c r="AH45" s="112">
        <v>245183.86939339156</v>
      </c>
      <c r="AI45" s="113">
        <v>1.0920010776702198</v>
      </c>
      <c r="AJ45" s="112">
        <v>1011897.959257042</v>
      </c>
      <c r="AK45" s="112">
        <v>1218807.1827833354</v>
      </c>
      <c r="AL45" s="113">
        <v>1.2044763719834071</v>
      </c>
      <c r="AM45" s="112">
        <v>351998.3432136089</v>
      </c>
      <c r="AN45" s="112">
        <v>258492.29278582815</v>
      </c>
      <c r="AO45" s="113">
        <v>0.73435656095961521</v>
      </c>
      <c r="AP45" s="114">
        <v>457234.39253508026</v>
      </c>
      <c r="AQ45" s="114">
        <v>367534.51572070981</v>
      </c>
      <c r="AR45" s="113">
        <v>0.80382080114962384</v>
      </c>
      <c r="AS45" s="112">
        <v>2045657.4645029234</v>
      </c>
      <c r="AT45" s="112">
        <v>2090017.720210949</v>
      </c>
      <c r="AU45" s="115">
        <v>1.0216850848579406</v>
      </c>
      <c r="AV45" s="112">
        <v>271042.9555671069</v>
      </c>
      <c r="AW45" s="112">
        <v>330685.78467636963</v>
      </c>
      <c r="AX45" s="116">
        <v>1.220049360753432</v>
      </c>
      <c r="AY45" s="112">
        <v>1236991.3573994846</v>
      </c>
      <c r="AZ45" s="112">
        <v>1549597.7475475951</v>
      </c>
      <c r="BA45" s="116">
        <v>1.2527150964136888</v>
      </c>
      <c r="BB45" s="112">
        <v>546828.67334431573</v>
      </c>
      <c r="BC45" s="112">
        <v>400681.40626619064</v>
      </c>
      <c r="BD45" s="116">
        <v>0.73273664275080519</v>
      </c>
      <c r="BE45" s="117">
        <v>416112.12440193788</v>
      </c>
      <c r="BF45" s="117">
        <v>327893.86057981907</v>
      </c>
      <c r="BG45" s="116">
        <v>0.78799400774752337</v>
      </c>
      <c r="BH45" s="112">
        <v>2470975.1107128453</v>
      </c>
      <c r="BI45" s="112">
        <v>2608858.7990699746</v>
      </c>
      <c r="BJ45" s="116">
        <v>1.055801326269673</v>
      </c>
      <c r="BK45" s="118">
        <v>274563.40925736167</v>
      </c>
      <c r="BL45" s="118">
        <v>314512.88850126223</v>
      </c>
      <c r="BM45" s="119">
        <v>1.145501832716733</v>
      </c>
      <c r="BN45" s="118">
        <v>1432950.3236624775</v>
      </c>
      <c r="BO45" s="118">
        <v>1539215.178595786</v>
      </c>
      <c r="BP45" s="119">
        <v>1.074158087114776</v>
      </c>
      <c r="BQ45" s="118">
        <v>575126.64023732825</v>
      </c>
      <c r="BR45" s="118">
        <v>401888.92468137469</v>
      </c>
      <c r="BS45" s="119">
        <v>0.69878335754979748</v>
      </c>
      <c r="BT45" s="118">
        <v>504883.15539717034</v>
      </c>
      <c r="BU45" s="118">
        <v>369105.16192492784</v>
      </c>
      <c r="BV45" s="119">
        <v>0.73107046250051333</v>
      </c>
      <c r="BW45" s="118">
        <v>2787523.5285543376</v>
      </c>
      <c r="BX45" s="118">
        <v>2624722.153703351</v>
      </c>
      <c r="BY45" s="119">
        <v>0.94159641230529145</v>
      </c>
      <c r="BZ45" s="120">
        <v>214761.61924083205</v>
      </c>
      <c r="CA45" s="120">
        <v>193679.84023152827</v>
      </c>
      <c r="CB45" s="121">
        <v>0.90183637521533666</v>
      </c>
      <c r="CC45" s="120">
        <v>1774200.9468099861</v>
      </c>
      <c r="CD45" s="120">
        <v>1862562.326638734</v>
      </c>
      <c r="CE45" s="121">
        <v>1.0498034791310542</v>
      </c>
      <c r="CF45" s="120">
        <v>767064.22395948798</v>
      </c>
      <c r="CG45" s="120">
        <v>546626.87848887115</v>
      </c>
      <c r="CH45" s="121">
        <v>0.71262204834329612</v>
      </c>
      <c r="CI45" s="120">
        <v>545062.70475860639</v>
      </c>
      <c r="CJ45" s="120">
        <v>399857.27891014796</v>
      </c>
      <c r="CK45" s="121">
        <v>0.73359867666461231</v>
      </c>
      <c r="CL45" s="120">
        <v>3301089.4947689124</v>
      </c>
      <c r="CM45" s="120">
        <v>3002726.1593487612</v>
      </c>
      <c r="CN45" s="121">
        <v>0.9096167080919938</v>
      </c>
      <c r="CO45" s="122">
        <v>119411.81676796291</v>
      </c>
      <c r="CP45" s="122">
        <v>110020.67234016568</v>
      </c>
      <c r="CQ45" s="123">
        <v>0.92135498242987302</v>
      </c>
      <c r="CR45" s="122">
        <v>2094337.9554334229</v>
      </c>
      <c r="CS45" s="122">
        <v>2069975.8399588387</v>
      </c>
      <c r="CT45" s="123">
        <v>0.98836762929718158</v>
      </c>
      <c r="CU45" s="122">
        <v>1008921.2946079213</v>
      </c>
      <c r="CV45" s="122">
        <v>711972.62120553153</v>
      </c>
      <c r="CW45" s="123">
        <v>0.70567706818222375</v>
      </c>
      <c r="CX45" s="122">
        <v>520375.21607937809</v>
      </c>
      <c r="CY45" s="122">
        <v>402326.27490453504</v>
      </c>
      <c r="CZ45" s="123">
        <v>0.77314649597601925</v>
      </c>
      <c r="DA45" s="122">
        <v>3851475.4496193654</v>
      </c>
      <c r="DB45" s="122">
        <v>3405791.6792742596</v>
      </c>
      <c r="DC45" s="123">
        <v>0.88428232863612</v>
      </c>
      <c r="DD45" s="122">
        <v>238001.24691222527</v>
      </c>
      <c r="DE45" s="122">
        <v>285813.65626826952</v>
      </c>
      <c r="DF45" s="123">
        <v>1.2008914237902184</v>
      </c>
      <c r="DG45" s="122">
        <v>2359978.9626640119</v>
      </c>
      <c r="DH45" s="122">
        <v>2310020.7911866256</v>
      </c>
      <c r="DI45" s="123">
        <v>0.97883109457001594</v>
      </c>
      <c r="DJ45" s="122">
        <v>1079157.846177378</v>
      </c>
      <c r="DK45" s="122">
        <v>931311.00422427314</v>
      </c>
      <c r="DL45" s="123">
        <v>0.86299794559543641</v>
      </c>
      <c r="DM45" s="122">
        <v>663686.44895296707</v>
      </c>
      <c r="DN45" s="122">
        <v>544700.66320655798</v>
      </c>
      <c r="DO45" s="123">
        <v>0.82071988069950608</v>
      </c>
      <c r="DP45" s="122">
        <v>4340824.5047065821</v>
      </c>
      <c r="DQ45" s="122">
        <v>4071846.114885726</v>
      </c>
      <c r="DR45" s="123">
        <v>0.93803518443806855</v>
      </c>
      <c r="DS45" s="122">
        <v>403601.19666931167</v>
      </c>
      <c r="DT45" s="122">
        <v>483586.38838957821</v>
      </c>
      <c r="DU45" s="123">
        <v>1.1981787774177537</v>
      </c>
      <c r="DV45" s="122">
        <v>2989917.0658639953</v>
      </c>
      <c r="DW45" s="122">
        <v>3547197.494676047</v>
      </c>
      <c r="DX45" s="123">
        <v>1.1863865841546393</v>
      </c>
      <c r="DY45" s="122">
        <v>1692579.3660256709</v>
      </c>
      <c r="DZ45" s="122">
        <v>1570485.0595514525</v>
      </c>
      <c r="EA45" s="123">
        <v>0.92786494451902313</v>
      </c>
      <c r="EB45" s="122">
        <v>720429.70130887872</v>
      </c>
      <c r="EC45" s="122">
        <v>734814.5867625887</v>
      </c>
      <c r="ED45" s="123">
        <v>1.0199670910674219</v>
      </c>
      <c r="EE45" s="122">
        <v>5806527.3298678575</v>
      </c>
      <c r="EF45" s="122">
        <v>6336083.5293796659</v>
      </c>
      <c r="EG45" s="123">
        <v>1.0912001562083167</v>
      </c>
    </row>
    <row r="46" spans="1:137" x14ac:dyDescent="0.2">
      <c r="A46" s="124" t="s">
        <v>69</v>
      </c>
      <c r="B46" s="12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CO46" s="126"/>
      <c r="CP46" s="126"/>
      <c r="CQ46" s="126"/>
      <c r="CR46" s="126"/>
      <c r="CS46" s="126"/>
      <c r="CT46" s="126"/>
      <c r="CU46" s="126"/>
      <c r="CV46" s="126"/>
      <c r="CW46" s="126"/>
      <c r="CX46" s="126"/>
      <c r="CY46" s="126"/>
      <c r="CZ46" s="126"/>
      <c r="DA46" s="126"/>
      <c r="DB46" s="126"/>
      <c r="DC46" s="126"/>
      <c r="DD46" s="126"/>
      <c r="DE46" s="126"/>
      <c r="DF46" s="126"/>
      <c r="DG46" s="126"/>
      <c r="DH46" s="126"/>
      <c r="DI46" s="126"/>
      <c r="DJ46" s="126"/>
      <c r="DK46" s="126"/>
      <c r="DL46" s="126"/>
      <c r="DM46" s="126"/>
      <c r="DN46" s="126"/>
      <c r="DO46" s="126"/>
      <c r="DP46" s="126"/>
      <c r="DQ46" s="126"/>
      <c r="DR46" s="126"/>
      <c r="DS46" s="126"/>
      <c r="DT46" s="126"/>
      <c r="DU46" s="126"/>
      <c r="DV46" s="126"/>
      <c r="DW46" s="126"/>
      <c r="DX46" s="126"/>
      <c r="DY46" s="126"/>
      <c r="DZ46" s="126"/>
      <c r="EA46" s="126"/>
      <c r="EB46" s="126"/>
      <c r="EC46" s="126"/>
      <c r="ED46" s="126"/>
      <c r="EE46" s="126"/>
      <c r="EF46" s="126"/>
      <c r="EG46" s="126"/>
    </row>
    <row r="47" spans="1:137" x14ac:dyDescent="0.2">
      <c r="A47" s="124" t="s">
        <v>70</v>
      </c>
      <c r="B47" s="124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DA47" s="130"/>
      <c r="DB47" s="130"/>
      <c r="DC47" s="131"/>
      <c r="DP47" s="130"/>
      <c r="DQ47" s="130"/>
      <c r="DR47" s="131"/>
      <c r="EE47" s="130"/>
      <c r="EF47" s="130"/>
      <c r="EG47" s="131"/>
    </row>
    <row r="48" spans="1:137" x14ac:dyDescent="0.2"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DA48" s="130"/>
      <c r="DB48" s="130"/>
      <c r="DO48" s="129" t="s">
        <v>71</v>
      </c>
      <c r="DP48" s="130"/>
      <c r="DQ48" s="130"/>
      <c r="EE48" s="130"/>
      <c r="EF48" s="130"/>
    </row>
    <row r="49" spans="3:136" x14ac:dyDescent="0.2"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DA49" s="130"/>
      <c r="DB49" s="130"/>
      <c r="DP49" s="130"/>
      <c r="DQ49" s="130"/>
      <c r="EE49" s="130"/>
      <c r="EF49" s="130"/>
    </row>
    <row r="50" spans="3:136" x14ac:dyDescent="0.2"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</row>
  </sheetData>
  <mergeCells count="57">
    <mergeCell ref="EE4:EG4"/>
    <mergeCell ref="DM4:DO4"/>
    <mergeCell ref="DP4:DR4"/>
    <mergeCell ref="DS4:DU4"/>
    <mergeCell ref="DV4:DX4"/>
    <mergeCell ref="DY4:EA4"/>
    <mergeCell ref="EB4:ED4"/>
    <mergeCell ref="CU4:CW4"/>
    <mergeCell ref="CX4:CZ4"/>
    <mergeCell ref="DA4:DC4"/>
    <mergeCell ref="DD4:DF4"/>
    <mergeCell ref="DG4:DI4"/>
    <mergeCell ref="DJ4:DL4"/>
    <mergeCell ref="CC4:CE4"/>
    <mergeCell ref="CF4:CH4"/>
    <mergeCell ref="CI4:CK4"/>
    <mergeCell ref="CL4:CN4"/>
    <mergeCell ref="CO4:CQ4"/>
    <mergeCell ref="CR4:CT4"/>
    <mergeCell ref="BK4:BM4"/>
    <mergeCell ref="BN4:BP4"/>
    <mergeCell ref="BQ4:BS4"/>
    <mergeCell ref="BT4:BV4"/>
    <mergeCell ref="BW4:BY4"/>
    <mergeCell ref="BZ4:CB4"/>
    <mergeCell ref="AS4:AU4"/>
    <mergeCell ref="AV4:AX4"/>
    <mergeCell ref="AY4:BA4"/>
    <mergeCell ref="BB4:BD4"/>
    <mergeCell ref="BE4:BG4"/>
    <mergeCell ref="BH4:BJ4"/>
    <mergeCell ref="AA4:AC4"/>
    <mergeCell ref="AD4:AF4"/>
    <mergeCell ref="AG4:AI4"/>
    <mergeCell ref="AJ4:AL4"/>
    <mergeCell ref="AM4:AO4"/>
    <mergeCell ref="AP4:AR4"/>
    <mergeCell ref="DD3:DR3"/>
    <mergeCell ref="DS3:EG3"/>
    <mergeCell ref="C4:E4"/>
    <mergeCell ref="F4:H4"/>
    <mergeCell ref="I4:K4"/>
    <mergeCell ref="L4:N4"/>
    <mergeCell ref="O4:Q4"/>
    <mergeCell ref="R4:T4"/>
    <mergeCell ref="U4:W4"/>
    <mergeCell ref="X4:Z4"/>
    <mergeCell ref="A2:EG2"/>
    <mergeCell ref="A3:A5"/>
    <mergeCell ref="B3:B5"/>
    <mergeCell ref="C3:Q3"/>
    <mergeCell ref="R3:AF3"/>
    <mergeCell ref="AG3:AU3"/>
    <mergeCell ref="AV3:BJ3"/>
    <mergeCell ref="BK3:BY3"/>
    <mergeCell ref="BZ3:CN3"/>
    <mergeCell ref="CO3:D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Policies Data</vt:lpstr>
      <vt:lpstr>Claims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nitin@indiasmeforum.com</dc:creator>
  <cp:lastModifiedBy>nitin@indiasmeforum.com</cp:lastModifiedBy>
  <dcterms:created xsi:type="dcterms:W3CDTF">2026-02-21T11:07:29Z</dcterms:created>
  <dcterms:modified xsi:type="dcterms:W3CDTF">2026-02-21T11:09:56Z</dcterms:modified>
</cp:coreProperties>
</file>